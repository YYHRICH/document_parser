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zes\Desktop\document_parser\docs\"/>
    </mc:Choice>
  </mc:AlternateContent>
  <xr:revisionPtr revIDLastSave="0" documentId="8_{C4F1AA08-DEC6-446F-A173-3C4D375B6B08}" xr6:coauthVersionLast="47" xr6:coauthVersionMax="47" xr10:uidLastSave="{00000000-0000-0000-0000-000000000000}"/>
  <bookViews>
    <workbookView xWindow="3000" yWindow="3000" windowWidth="19200" windowHeight="11710" xr2:uid="{00000000-000D-0000-FFFF-FFFF00000000}"/>
  </bookViews>
  <sheets>
    <sheet name="对比总表" sheetId="1" r:id="rId1"/>
    <sheet name="计算底表" sheetId="2" r:id="rId2"/>
    <sheet name="口径与资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L5" i="2"/>
  <c r="K5" i="2"/>
  <c r="J5" i="2"/>
  <c r="I5" i="2"/>
  <c r="H5" i="2"/>
  <c r="G5" i="2"/>
  <c r="F5" i="2"/>
  <c r="E5" i="2"/>
  <c r="D5" i="2"/>
  <c r="C5" i="2"/>
  <c r="B5" i="2"/>
  <c r="M4" i="2"/>
  <c r="F4" i="2"/>
  <c r="M3" i="2"/>
  <c r="F3" i="2"/>
  <c r="M2" i="2"/>
  <c r="F2" i="2"/>
  <c r="L9" i="1"/>
  <c r="K9" i="1"/>
  <c r="J9" i="1"/>
  <c r="I9" i="1"/>
  <c r="H9" i="1"/>
  <c r="F9" i="1"/>
  <c r="E9" i="1"/>
  <c r="D9" i="1"/>
  <c r="C9" i="1"/>
  <c r="B9" i="1"/>
  <c r="L8" i="1"/>
  <c r="K8" i="1"/>
  <c r="J8" i="1"/>
  <c r="I8" i="1"/>
  <c r="H8" i="1"/>
  <c r="F8" i="1"/>
  <c r="E8" i="1"/>
  <c r="D8" i="1"/>
  <c r="C8" i="1"/>
  <c r="B8" i="1"/>
  <c r="L7" i="1"/>
  <c r="K7" i="1"/>
  <c r="J7" i="1"/>
  <c r="I7" i="1"/>
  <c r="H7" i="1"/>
  <c r="F7" i="1"/>
  <c r="E7" i="1"/>
  <c r="D7" i="1"/>
  <c r="C7" i="1"/>
  <c r="B7" i="1"/>
  <c r="L6" i="1"/>
  <c r="K6" i="1"/>
  <c r="J6" i="1"/>
  <c r="I6" i="1"/>
  <c r="H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<sst xmlns="http://schemas.openxmlformats.org/spreadsheetml/2006/main" count="155" uniqueCount="125">
  <si>
    <t>实测数据集解析工具与路由方案对比（224个文件）</t>
  </si>
  <si>
    <r>
      <t>指标</t>
    </r>
    <r>
      <rPr>
        <b/>
        <sz val="11"/>
        <color rgb="FFC00000"/>
        <rFont val="Carlito"/>
        <charset val="134"/>
      </rPr>
      <t xml:space="preserve"> / </t>
    </r>
    <r>
      <rPr>
        <b/>
        <sz val="11"/>
        <color rgb="FFC00000"/>
        <rFont val="宋体"/>
        <family val="3"/>
        <charset val="134"/>
      </rPr>
      <t>维度</t>
    </r>
  </si>
  <si>
    <t>AnyDoc</t>
  </si>
  <si>
    <t>Docling</t>
  </si>
  <si>
    <t>MarkItDown</t>
  </si>
  <si>
    <t>MinerU API</t>
  </si>
  <si>
    <r>
      <t xml:space="preserve">MinerU </t>
    </r>
    <r>
      <rPr>
        <b/>
        <sz val="11"/>
        <color rgb="FFC00000"/>
        <rFont val="宋体"/>
        <family val="3"/>
        <charset val="134"/>
      </rPr>
      <t>本地理论</t>
    </r>
  </si>
  <si>
    <t>Unstructured</t>
  </si>
  <si>
    <r>
      <t>路由</t>
    </r>
    <r>
      <rPr>
        <b/>
        <sz val="11"/>
        <color theme="0"/>
        <rFont val="Carlito"/>
        <charset val="134"/>
      </rPr>
      <t>1</t>
    </r>
    <r>
      <rPr>
        <b/>
        <sz val="11"/>
        <color theme="0"/>
        <rFont val="宋体"/>
        <family val="3"/>
        <charset val="134"/>
      </rPr>
      <t>（目前质量优先路径）</t>
    </r>
  </si>
  <si>
    <r>
      <t>理论路由</t>
    </r>
    <r>
      <rPr>
        <b/>
        <sz val="11"/>
        <color rgb="FFFFFFFF"/>
        <rFont val="Carlito"/>
        <charset val="134"/>
      </rPr>
      <t>2</t>
    </r>
  </si>
  <si>
    <r>
      <t>理论路由</t>
    </r>
    <r>
      <rPr>
        <b/>
        <sz val="11"/>
        <color rgb="FFFFFFFF"/>
        <rFont val="Carlito"/>
        <charset val="134"/>
      </rPr>
      <t>3</t>
    </r>
  </si>
  <si>
    <r>
      <t>理论路由</t>
    </r>
    <r>
      <rPr>
        <b/>
        <sz val="11"/>
        <color rgb="FFFFFFFF"/>
        <rFont val="Carlito"/>
        <charset val="134"/>
      </rPr>
      <t>4</t>
    </r>
  </si>
  <si>
    <r>
      <t>理论路由</t>
    </r>
    <r>
      <rPr>
        <b/>
        <sz val="11"/>
        <color rgb="FFFFFFFF"/>
        <rFont val="Carlito"/>
        <charset val="134"/>
      </rPr>
      <t>5</t>
    </r>
  </si>
  <si>
    <t>解析成功情况</t>
  </si>
  <si>
    <t>191/224 (85.3%)</t>
  </si>
  <si>
    <t>175/224 (78.1%)</t>
  </si>
  <si>
    <t>187/224 (83.5%)</t>
  </si>
  <si>
    <t>224/224 (100.0%)</t>
  </si>
  <si>
    <t>188/224 (83.9%)</t>
  </si>
  <si>
    <t>覆盖质量说明</t>
  </si>
  <si>
    <r>
      <t>PDF</t>
    </r>
    <r>
      <rPr>
        <sz val="11"/>
        <color rgb="FFC00000"/>
        <rFont val="宋体"/>
        <family val="3"/>
        <charset val="134"/>
      </rPr>
      <t>无</t>
    </r>
    <r>
      <rPr>
        <sz val="11"/>
        <color rgb="FFC00000"/>
        <rFont val="Carlito"/>
        <charset val="134"/>
      </rPr>
      <t>OCR</t>
    </r>
    <r>
      <rPr>
        <sz val="11"/>
        <color rgb="FFC00000"/>
        <rFont val="宋体"/>
        <family val="3"/>
        <charset val="134"/>
      </rPr>
      <t>失败；</t>
    </r>
    <r>
      <rPr>
        <sz val="11"/>
        <color rgb="FFC00000"/>
        <rFont val="Carlito"/>
        <charset val="134"/>
      </rPr>
      <t>Office</t>
    </r>
    <r>
      <rPr>
        <sz val="11"/>
        <color rgb="FFC00000"/>
        <rFont val="宋体"/>
        <family val="3"/>
        <charset val="134"/>
      </rPr>
      <t>支持较好</t>
    </r>
  </si>
  <si>
    <r>
      <t>PDF</t>
    </r>
    <r>
      <rPr>
        <sz val="11"/>
        <color rgb="FFC00000"/>
        <rFont val="宋体"/>
        <family val="3"/>
        <charset val="134"/>
      </rPr>
      <t>与新版</t>
    </r>
    <r>
      <rPr>
        <sz val="11"/>
        <color rgb="FFC00000"/>
        <rFont val="Carlito"/>
        <charset val="134"/>
      </rPr>
      <t>Office</t>
    </r>
    <r>
      <rPr>
        <sz val="11"/>
        <color rgb="FFC00000"/>
        <rFont val="宋体"/>
        <family val="3"/>
        <charset val="134"/>
      </rPr>
      <t>可用（含</t>
    </r>
    <r>
      <rPr>
        <sz val="11"/>
        <color rgb="FFC00000"/>
        <rFont val="Carlito"/>
        <charset val="134"/>
      </rPr>
      <t>reused</t>
    </r>
    <r>
      <rPr>
        <sz val="11"/>
        <color rgb="FFC00000"/>
        <rFont val="宋体"/>
        <family val="3"/>
        <charset val="134"/>
      </rPr>
      <t>结果）；旧版</t>
    </r>
    <r>
      <rPr>
        <sz val="11"/>
        <color rgb="FFC00000"/>
        <rFont val="Carlito"/>
        <charset val="134"/>
      </rPr>
      <t>DOC/XLS/PPT</t>
    </r>
    <r>
      <rPr>
        <sz val="11"/>
        <color rgb="FFC00000"/>
        <rFont val="宋体"/>
        <family val="3"/>
        <charset val="134"/>
      </rPr>
      <t>不支持</t>
    </r>
  </si>
  <si>
    <r>
      <t>PDF</t>
    </r>
    <r>
      <rPr>
        <sz val="11"/>
        <color rgb="FFC00000"/>
        <rFont val="宋体"/>
        <family val="3"/>
        <charset val="134"/>
      </rPr>
      <t>成功率高但图文处理耗时明显；旧</t>
    </r>
    <r>
      <rPr>
        <sz val="11"/>
        <color rgb="FFC00000"/>
        <rFont val="Carlito"/>
        <charset val="134"/>
      </rPr>
      <t>DOC/PPT</t>
    </r>
    <r>
      <rPr>
        <sz val="11"/>
        <color rgb="FFC00000"/>
        <rFont val="宋体"/>
        <family val="3"/>
        <charset val="134"/>
      </rPr>
      <t>不支持</t>
    </r>
  </si>
  <si>
    <r>
      <t>云端</t>
    </r>
    <r>
      <rPr>
        <sz val="11"/>
        <color rgb="FFC00000"/>
        <rFont val="Carlito"/>
        <charset val="134"/>
      </rPr>
      <t>MinerU</t>
    </r>
    <r>
      <rPr>
        <sz val="11"/>
        <color rgb="FFC00000"/>
        <rFont val="宋体"/>
        <family val="3"/>
        <charset val="134"/>
      </rPr>
      <t>覆盖最全，包含排队、解析、轮询、下载耗时</t>
    </r>
  </si>
  <si>
    <r>
      <t>按</t>
    </r>
    <r>
      <rPr>
        <sz val="11"/>
        <color rgb="FFC00000"/>
        <rFont val="Carlito"/>
        <charset val="134"/>
      </rPr>
      <t>api</t>
    </r>
    <r>
      <rPr>
        <sz val="11"/>
        <color rgb="FFC00000"/>
        <rFont val="宋体"/>
        <family val="3"/>
        <charset val="134"/>
      </rPr>
      <t>明细耗时</t>
    </r>
    <r>
      <rPr>
        <sz val="11"/>
        <color rgb="FFC00000"/>
        <rFont val="Carlito"/>
        <charset val="134"/>
      </rPr>
      <t>×2.4</t>
    </r>
    <r>
      <rPr>
        <sz val="11"/>
        <color rgb="FFC00000"/>
        <rFont val="宋体"/>
        <family val="3"/>
        <charset val="134"/>
      </rPr>
      <t>估算；成功率沿用</t>
    </r>
    <r>
      <rPr>
        <sz val="11"/>
        <color rgb="FFC00000"/>
        <rFont val="Carlito"/>
        <charset val="134"/>
      </rPr>
      <t>API</t>
    </r>
    <r>
      <rPr>
        <sz val="11"/>
        <color rgb="FFC00000"/>
        <rFont val="宋体"/>
        <family val="3"/>
        <charset val="134"/>
      </rPr>
      <t>实测</t>
    </r>
  </si>
  <si>
    <r>
      <t>fast</t>
    </r>
    <r>
      <rPr>
        <sz val="11"/>
        <rFont val="宋体"/>
        <family val="3"/>
        <charset val="134"/>
      </rPr>
      <t>策略；</t>
    </r>
    <r>
      <rPr>
        <sz val="11"/>
        <rFont val="Carlito"/>
        <charset val="134"/>
      </rPr>
      <t>DOC/PPT</t>
    </r>
    <r>
      <rPr>
        <sz val="11"/>
        <rFont val="宋体"/>
        <family val="3"/>
        <charset val="134"/>
      </rPr>
      <t>部分失败，</t>
    </r>
    <r>
      <rPr>
        <sz val="11"/>
        <rFont val="Carlito"/>
        <charset val="134"/>
      </rPr>
      <t>PDF</t>
    </r>
    <r>
      <rPr>
        <sz val="11"/>
        <rFont val="宋体"/>
        <family val="3"/>
        <charset val="134"/>
      </rPr>
      <t>整体成功</t>
    </r>
  </si>
  <si>
    <r>
      <t>PDF→MinerU API</t>
    </r>
    <r>
      <rPr>
        <sz val="11"/>
        <color rgb="FFC00000"/>
        <rFont val="宋体"/>
        <family val="3"/>
        <charset val="134"/>
      </rPr>
      <t>；新版</t>
    </r>
    <r>
      <rPr>
        <sz val="11"/>
        <color rgb="FFC00000"/>
        <rFont val="Carlito"/>
        <charset val="134"/>
      </rPr>
      <t>Office→Docling</t>
    </r>
    <r>
      <rPr>
        <sz val="11"/>
        <color rgb="FFC00000"/>
        <rFont val="宋体"/>
        <family val="3"/>
        <charset val="134"/>
      </rPr>
      <t>；旧版</t>
    </r>
    <r>
      <rPr>
        <sz val="11"/>
        <color rgb="FFC00000"/>
        <rFont val="Carlito"/>
        <charset val="134"/>
      </rPr>
      <t>Office→AnyDoc</t>
    </r>
  </si>
  <si>
    <t>PDF→MinerU 本地理论；新版Office→Docling；旧版Office→AnyDoc</t>
  </si>
  <si>
    <t>PDF→Docling；新版/旧版Office→AnyDoc</t>
  </si>
  <si>
    <t>PDF→MinerU API；新版/旧版Office→AnyDoc</t>
  </si>
  <si>
    <t>PDF→MinerU 本地理论；新版/旧版Office→AnyDoc</t>
  </si>
  <si>
    <t>工具资源消耗</t>
  </si>
  <si>
    <r>
      <t>约</t>
    </r>
    <r>
      <rPr>
        <sz val="11"/>
        <color rgb="FFC00000"/>
        <rFont val="Carlito"/>
        <charset val="134"/>
      </rPr>
      <t>7.70 MiB</t>
    </r>
  </si>
  <si>
    <r>
      <t>约</t>
    </r>
    <r>
      <rPr>
        <sz val="11"/>
        <color rgb="FFC00000"/>
        <rFont val="Carlito"/>
        <charset val="134"/>
      </rPr>
      <t>2.692 GiB</t>
    </r>
    <r>
      <rPr>
        <sz val="11"/>
        <color rgb="FFC00000"/>
        <rFont val="宋体"/>
        <family val="3"/>
        <charset val="134"/>
      </rPr>
      <t>（</t>
    </r>
    <r>
      <rPr>
        <sz val="11"/>
        <color rgb="FFC00000"/>
        <rFont val="Carlito"/>
        <charset val="134"/>
      </rPr>
      <t>venv+</t>
    </r>
    <r>
      <rPr>
        <sz val="11"/>
        <color rgb="FFC00000"/>
        <rFont val="宋体"/>
        <family val="3"/>
        <charset val="134"/>
      </rPr>
      <t>模型）</t>
    </r>
  </si>
  <si>
    <r>
      <t>约</t>
    </r>
    <r>
      <rPr>
        <sz val="11"/>
        <color rgb="FFC00000"/>
        <rFont val="Carlito"/>
        <charset val="134"/>
      </rPr>
      <t>388.81 MiB</t>
    </r>
  </si>
  <si>
    <r>
      <t>无本地占用（云端</t>
    </r>
    <r>
      <rPr>
        <sz val="11"/>
        <color rgb="FFC00000"/>
        <rFont val="Carlito"/>
        <charset val="134"/>
      </rPr>
      <t>API</t>
    </r>
    <r>
      <rPr>
        <sz val="11"/>
        <color rgb="FFC00000"/>
        <rFont val="宋体"/>
        <family val="3"/>
        <charset val="134"/>
      </rPr>
      <t>）</t>
    </r>
  </si>
  <si>
    <r>
      <t>约</t>
    </r>
    <r>
      <rPr>
        <sz val="11"/>
        <color rgb="FFC00000"/>
        <rFont val="Carlito"/>
        <charset val="134"/>
      </rPr>
      <t>4.77 GiB</t>
    </r>
    <r>
      <rPr>
        <sz val="11"/>
        <color rgb="FFC00000"/>
        <rFont val="宋体"/>
        <family val="3"/>
        <charset val="134"/>
      </rPr>
      <t>（本地</t>
    </r>
    <r>
      <rPr>
        <sz val="11"/>
        <color rgb="FFC00000"/>
        <rFont val="Carlito"/>
        <charset val="134"/>
      </rPr>
      <t>venv+</t>
    </r>
    <r>
      <rPr>
        <sz val="11"/>
        <color rgb="FFC00000"/>
        <rFont val="宋体"/>
        <family val="3"/>
        <charset val="134"/>
      </rPr>
      <t>模型）</t>
    </r>
  </si>
  <si>
    <t>以本地Python依赖为主，未单列部署表</t>
  </si>
  <si>
    <r>
      <t>Docling + AnyDoc</t>
    </r>
    <r>
      <rPr>
        <sz val="11"/>
        <color rgb="FFC00000"/>
        <rFont val="宋体"/>
        <family val="3"/>
        <charset val="134"/>
      </rPr>
      <t>；</t>
    </r>
    <r>
      <rPr>
        <sz val="11"/>
        <color rgb="FFC00000"/>
        <rFont val="Carlito"/>
        <charset val="134"/>
      </rPr>
      <t>MinerU API</t>
    </r>
    <r>
      <rPr>
        <sz val="11"/>
        <color rgb="FFC00000"/>
        <rFont val="宋体"/>
        <family val="3"/>
        <charset val="134"/>
      </rPr>
      <t>无本地占用</t>
    </r>
  </si>
  <si>
    <t>MinerU本地 + Docling + AnyDoc</t>
  </si>
  <si>
    <t>Docling + AnyDoc</t>
  </si>
  <si>
    <t>AnyDoc；MinerU API无本地占用</t>
  </si>
  <si>
    <t>MinerU本地 + AnyDoc</t>
  </si>
  <si>
    <t>耗时总时间（秒）</t>
  </si>
  <si>
    <t>PDF耗时（秒）</t>
  </si>
  <si>
    <t>新版Office耗时（秒）</t>
  </si>
  <si>
    <t>旧版Office耗时（秒）</t>
  </si>
  <si>
    <r>
      <t>其他重要耗时</t>
    </r>
    <r>
      <rPr>
        <b/>
        <sz val="11"/>
        <color rgb="FFFF0000"/>
        <rFont val="Carlito"/>
        <charset val="134"/>
      </rPr>
      <t>/</t>
    </r>
    <r>
      <rPr>
        <b/>
        <sz val="11"/>
        <color rgb="FFFF0000"/>
        <rFont val="宋体"/>
        <family val="3"/>
        <charset val="134"/>
      </rPr>
      <t>口径</t>
    </r>
  </si>
  <si>
    <r>
      <t>AnyDoc</t>
    </r>
    <r>
      <rPr>
        <sz val="11"/>
        <color rgb="FFFF0000"/>
        <rFont val="宋体"/>
        <family val="3"/>
        <charset val="134"/>
      </rPr>
      <t>基础</t>
    </r>
    <r>
      <rPr>
        <sz val="11"/>
        <color rgb="FFFF0000"/>
        <rFont val="Carlito"/>
        <charset val="134"/>
      </rPr>
      <t>95565 ms + Plus</t>
    </r>
    <r>
      <rPr>
        <sz val="11"/>
        <color rgb="FFFF0000"/>
        <rFont val="宋体"/>
        <family val="3"/>
        <charset val="134"/>
      </rPr>
      <t>图片</t>
    </r>
    <r>
      <rPr>
        <sz val="11"/>
        <color rgb="FFFF0000"/>
        <rFont val="Carlito"/>
        <charset val="134"/>
      </rPr>
      <t>34150 ms</t>
    </r>
  </si>
  <si>
    <t>累计3803.85 s</t>
  </si>
  <si>
    <t>总耗时450.921 s</t>
  </si>
  <si>
    <t>API逐文件明细合计约7701.2 s；报告总览存在四舍五入差异</t>
  </si>
  <si>
    <r>
      <t>按</t>
    </r>
    <r>
      <rPr>
        <sz val="11"/>
        <rFont val="Carlito"/>
        <charset val="134"/>
      </rPr>
      <t>API</t>
    </r>
    <r>
      <rPr>
        <sz val="11"/>
        <rFont val="宋体"/>
        <family val="3"/>
        <charset val="134"/>
      </rPr>
      <t>逐文件明细合计</t>
    </r>
    <r>
      <rPr>
        <sz val="11"/>
        <rFont val="Carlito"/>
        <charset val="134"/>
      </rPr>
      <t>×2.4</t>
    </r>
  </si>
  <si>
    <t>累计90.41 s</t>
  </si>
  <si>
    <t>API云端排队/解析/下载计入</t>
  </si>
  <si>
    <t>本地理论=API明细×2.4</t>
  </si>
  <si>
    <t>Docling PDF耗时占主导</t>
  </si>
  <si>
    <t>文件类别</t>
  </si>
  <si>
    <t>文件数</t>
  </si>
  <si>
    <t>AnyDoc成功</t>
  </si>
  <si>
    <t>AnyDoc基础耗时(s)</t>
  </si>
  <si>
    <t>Plus图片耗时(s)</t>
  </si>
  <si>
    <t>AnyDoc合计耗时(s)</t>
  </si>
  <si>
    <t>Docling成功</t>
  </si>
  <si>
    <t>Docling耗时(s)</t>
  </si>
  <si>
    <t>MarkItDown成功</t>
  </si>
  <si>
    <t>MarkItDown耗时(s)</t>
  </si>
  <si>
    <t>MinerU API成功</t>
  </si>
  <si>
    <t>MinerU API耗时(s)</t>
  </si>
  <si>
    <t>MinerU本地理论耗时(s)</t>
  </si>
  <si>
    <t>PDF</t>
  </si>
  <si>
    <t>新版Office (DOCX/XLSX)</t>
  </si>
  <si>
    <t>旧版Office (DOC/XLS/PPT)</t>
  </si>
  <si>
    <t>合计</t>
  </si>
  <si>
    <t>口径、来源与资源占用说明</t>
  </si>
  <si>
    <t>项目</t>
  </si>
  <si>
    <t>口径/数值</t>
  </si>
  <si>
    <t>来源文件</t>
  </si>
  <si>
    <t>备注</t>
  </si>
  <si>
    <t/>
  </si>
  <si>
    <t>工具</t>
  </si>
  <si>
    <t>实际磁盘占用</t>
  </si>
  <si>
    <t>部署/资源说明</t>
  </si>
  <si>
    <t>数据集规模</t>
  </si>
  <si>
    <t>224个文件：PDF125 / 新版Office50 / 旧版Office49</t>
  </si>
  <si>
    <t>allin6/data</t>
  </si>
  <si>
    <t>新版Office=DOCX/XLSX；旧版Office=DOC/XLS/PPT</t>
  </si>
  <si>
    <t>约2.692 GiB</t>
  </si>
  <si>
    <t>Windows CPU；独立Python venv+本地模型；GPU非必需</t>
  </si>
  <si>
    <t>成功191/224；基础95.565 s</t>
  </si>
  <si>
    <t>res_anydoc/解析耗时和成功与否的解析报告.md</t>
  </si>
  <si>
    <t>PDF成功92；新版50；旧版49</t>
  </si>
  <si>
    <t>AnyDoc / Plus</t>
  </si>
  <si>
    <t>约7.70 MiB</t>
  </si>
  <si>
    <t>Node.js + Rust原生模块；Plus复用本体并处理图片资源</t>
  </si>
  <si>
    <t>AnyDoc Plus</t>
  </si>
  <si>
    <t>图片流程34.150 s；图片资源345；实际含图片文件16</t>
  </si>
  <si>
    <t>res_anydoc_plus/解析耗时与成功报告.md</t>
  </si>
  <si>
    <t>路由中AnyDoc耗时按基础+Plus图片流程</t>
  </si>
  <si>
    <t>约388.81 MiB</t>
  </si>
  <si>
    <t>Python markitdown[all]；GPU非必需</t>
  </si>
  <si>
    <t>报告总览成功175/224；逐文件含reused结果后PDF125、新版Office50可用</t>
  </si>
  <si>
    <t>res_docling/data_解析总报告.md</t>
  </si>
  <si>
    <t>旧版DOC/XLS/PPT失败；reused按已有成功结果计入路由覆盖</t>
  </si>
  <si>
    <t>MinerU 本地</t>
  </si>
  <si>
    <t>约4.77 GiB</t>
  </si>
  <si>
    <t>Mac M5；venv约1.62 GiB + 模型约3.15 GiB；统一内存/Metal</t>
  </si>
  <si>
    <t>成功187/224；总耗时450.921 s</t>
  </si>
  <si>
    <t>res_markitdown/解析耗时和成功与否的解析报告.md</t>
  </si>
  <si>
    <t>PDF124；新版Office50；旧版Office13</t>
  </si>
  <si>
    <t>无本地占用</t>
  </si>
  <si>
    <t>云端排队、解析、轮询与下载计入耗时</t>
  </si>
  <si>
    <t>成功224/224；逐文件明细合计约7701.2 s</t>
  </si>
  <si>
    <t>res_minerU/data全部文件MinerU解析报告.md</t>
  </si>
  <si>
    <t>报告总览四舍五入后写为1时55分12.5秒，分项汇总为约2时8分21.5秒；路由采用逐文件明细</t>
  </si>
  <si>
    <t>路由资源</t>
  </si>
  <si>
    <t>按所用工具相加</t>
  </si>
  <si>
    <t>R1/R3约2.700 GiB；R2约7.469 GiB；R4约7.70 MiB；R5约4.778 GiB</t>
  </si>
  <si>
    <t>MinerU 本地理论</t>
  </si>
  <si>
    <t>各类别API明细耗时×2.4；总计约18482.88 s</t>
  </si>
  <si>
    <t>用户指定规则</t>
  </si>
  <si>
    <t>理论估算，不代表本地Docker已实测</t>
  </si>
  <si>
    <t>质量提示</t>
  </si>
  <si>
    <t>组合路由成功率为文件级成功数/224</t>
  </si>
  <si>
    <t>未对内容质量做主观重评分，质量说明保留各报告的结构/兼容性结论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</si>
</sst>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Carlito"/>
      <charset val="134"/>
    </font>
    <font>
      <b/>
      <sz val="11"/>
      <color theme="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C00000"/>
      <name val="Carlito"/>
      <charset val="134"/>
    </font>
    <font>
      <sz val="11"/>
      <color rgb="FFC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Carlito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theme="0"/>
      <name val="Carlito"/>
      <charset val="134"/>
    </font>
    <font>
      <b/>
      <sz val="11"/>
      <color rgb="FFFF0000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9E480E"/>
      </left>
      <right style="thin">
        <color rgb="FF9E480E"/>
      </right>
      <top style="thin">
        <color rgb="FF9E480E"/>
      </top>
      <bottom style="thin">
        <color rgb="FF9E480E"/>
      </bottom>
      <diagonal/>
    </border>
  </borders>
  <cellStyleXfs count="2">
    <xf numFmtId="0" fontId="0" fillId="0" borderId="0">
      <alignment vertical="center"/>
    </xf>
    <xf numFmtId="0" fontId="18" fillId="0" borderId="0"/>
  </cellStyleXfs>
  <cellXfs count="29">
    <xf numFmtId="0" fontId="0" fillId="0" borderId="0" xfId="0" applyAlignment="1"/>
    <xf numFmtId="0" fontId="1" fillId="2" borderId="0" xfId="1" applyFont="1" applyFill="1" applyAlignment="1">
      <alignment horizontal="center"/>
    </xf>
    <xf numFmtId="0" fontId="2" fillId="3" borderId="1" xfId="1" applyFont="1" applyFill="1" applyBorder="1" applyAlignment="1">
      <alignment wrapText="1"/>
    </xf>
    <xf numFmtId="0" fontId="18" fillId="0" borderId="2" xfId="1" applyBorder="1" applyAlignment="1">
      <alignment vertical="top" wrapText="1"/>
    </xf>
    <xf numFmtId="0" fontId="3" fillId="4" borderId="2" xfId="1" applyFont="1" applyFill="1" applyBorder="1" applyAlignment="1">
      <alignment horizontal="center" vertical="center" wrapText="1"/>
    </xf>
    <xf numFmtId="0" fontId="18" fillId="0" borderId="2" xfId="1" applyBorder="1" applyAlignment="1">
      <alignment vertical="center" wrapText="1"/>
    </xf>
    <xf numFmtId="2" fontId="18" fillId="0" borderId="2" xfId="1" applyNumberFormat="1" applyBorder="1" applyAlignment="1">
      <alignment vertical="center" wrapText="1"/>
    </xf>
    <xf numFmtId="0" fontId="4" fillId="5" borderId="3" xfId="1" applyFont="1" applyFill="1" applyBorder="1" applyAlignment="1">
      <alignment vertical="center" wrapText="1"/>
    </xf>
    <xf numFmtId="2" fontId="4" fillId="5" borderId="3" xfId="1" applyNumberFormat="1" applyFont="1" applyFill="1" applyBorder="1" applyAlignment="1">
      <alignment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vertical="center" wrapText="1"/>
    </xf>
    <xf numFmtId="0" fontId="10" fillId="0" borderId="2" xfId="1" applyFont="1" applyBorder="1" applyAlignment="1">
      <alignment vertical="top" wrapText="1"/>
    </xf>
    <xf numFmtId="0" fontId="10" fillId="8" borderId="2" xfId="1" applyFont="1" applyFill="1" applyBorder="1" applyAlignment="1">
      <alignment vertical="top" wrapText="1"/>
    </xf>
    <xf numFmtId="0" fontId="18" fillId="8" borderId="2" xfId="1" applyFill="1" applyBorder="1" applyAlignment="1">
      <alignment vertical="top" wrapText="1"/>
    </xf>
    <xf numFmtId="0" fontId="11" fillId="0" borderId="2" xfId="1" applyFont="1" applyBorder="1" applyAlignment="1">
      <alignment vertical="top" wrapText="1"/>
    </xf>
    <xf numFmtId="2" fontId="10" fillId="0" borderId="2" xfId="1" applyNumberFormat="1" applyFont="1" applyBorder="1" applyAlignment="1">
      <alignment vertical="top" wrapText="1"/>
    </xf>
    <xf numFmtId="2" fontId="10" fillId="9" borderId="2" xfId="1" applyNumberFormat="1" applyFont="1" applyFill="1" applyBorder="1" applyAlignment="1">
      <alignment vertical="top" wrapText="1"/>
    </xf>
    <xf numFmtId="2" fontId="18" fillId="0" borderId="2" xfId="1" applyNumberFormat="1" applyBorder="1" applyAlignment="1">
      <alignment vertical="top" wrapText="1"/>
    </xf>
    <xf numFmtId="2" fontId="18" fillId="8" borderId="2" xfId="1" applyNumberFormat="1" applyFill="1" applyBorder="1" applyAlignment="1">
      <alignment vertical="top" wrapText="1"/>
    </xf>
    <xf numFmtId="0" fontId="2" fillId="7" borderId="2" xfId="1" applyFont="1" applyFill="1" applyBorder="1" applyAlignment="1">
      <alignment vertical="center" wrapText="1"/>
    </xf>
    <xf numFmtId="0" fontId="12" fillId="7" borderId="2" xfId="1" applyFont="1" applyFill="1" applyBorder="1" applyAlignment="1">
      <alignment vertical="center" wrapText="1"/>
    </xf>
    <xf numFmtId="0" fontId="13" fillId="0" borderId="2" xfId="1" applyFont="1" applyBorder="1" applyAlignment="1">
      <alignment vertical="top" wrapText="1"/>
    </xf>
    <xf numFmtId="0" fontId="14" fillId="0" borderId="2" xfId="1" applyFont="1" applyBorder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topLeftCell="A3" workbookViewId="0">
      <selection activeCell="E4" sqref="E4"/>
    </sheetView>
  </sheetViews>
  <sheetFormatPr defaultColWidth="9" defaultRowHeight="14"/>
  <cols>
    <col min="1" max="1" width="18" customWidth="1"/>
    <col min="2" max="12" width="24" customWidth="1"/>
  </cols>
  <sheetData>
    <row r="1" spans="1:12" ht="28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4" customHeight="1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2" t="s">
        <v>8</v>
      </c>
      <c r="I2" s="13" t="s">
        <v>9</v>
      </c>
      <c r="J2" s="13" t="s">
        <v>10</v>
      </c>
      <c r="K2" s="13" t="s">
        <v>11</v>
      </c>
      <c r="L2" s="13" t="s">
        <v>12</v>
      </c>
    </row>
    <row r="3" spans="1:12" ht="62" customHeight="1">
      <c r="A3" s="14" t="s">
        <v>13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17</v>
      </c>
      <c r="G3" s="3" t="s">
        <v>18</v>
      </c>
      <c r="H3" s="16" t="s">
        <v>17</v>
      </c>
      <c r="I3" s="17" t="s">
        <v>17</v>
      </c>
      <c r="J3" s="17" t="s">
        <v>17</v>
      </c>
      <c r="K3" s="17" t="s">
        <v>17</v>
      </c>
      <c r="L3" s="17" t="s">
        <v>17</v>
      </c>
    </row>
    <row r="4" spans="1:12" ht="62" customHeight="1">
      <c r="A4" s="14" t="s">
        <v>19</v>
      </c>
      <c r="B4" s="15" t="s">
        <v>20</v>
      </c>
      <c r="C4" s="15" t="s">
        <v>21</v>
      </c>
      <c r="D4" s="15" t="s">
        <v>22</v>
      </c>
      <c r="E4" s="18" t="s">
        <v>23</v>
      </c>
      <c r="F4" s="18" t="s">
        <v>24</v>
      </c>
      <c r="G4" s="3" t="s">
        <v>25</v>
      </c>
      <c r="H4" s="16" t="s">
        <v>26</v>
      </c>
      <c r="I4" s="17" t="s">
        <v>27</v>
      </c>
      <c r="J4" s="17" t="s">
        <v>28</v>
      </c>
      <c r="K4" s="17" t="s">
        <v>29</v>
      </c>
      <c r="L4" s="17" t="s">
        <v>30</v>
      </c>
    </row>
    <row r="5" spans="1:12" ht="62" customHeight="1">
      <c r="A5" s="14" t="s">
        <v>31</v>
      </c>
      <c r="B5" s="18" t="s">
        <v>32</v>
      </c>
      <c r="C5" s="18" t="s">
        <v>33</v>
      </c>
      <c r="D5" s="18" t="s">
        <v>34</v>
      </c>
      <c r="E5" s="18" t="s">
        <v>35</v>
      </c>
      <c r="F5" s="18" t="s">
        <v>36</v>
      </c>
      <c r="G5" s="3" t="s">
        <v>37</v>
      </c>
      <c r="H5" s="16" t="s">
        <v>38</v>
      </c>
      <c r="I5" s="17" t="s">
        <v>39</v>
      </c>
      <c r="J5" s="17" t="s">
        <v>40</v>
      </c>
      <c r="K5" s="17" t="s">
        <v>41</v>
      </c>
      <c r="L5" s="17" t="s">
        <v>42</v>
      </c>
    </row>
    <row r="6" spans="1:12" ht="62" customHeight="1">
      <c r="A6" s="14" t="s">
        <v>43</v>
      </c>
      <c r="B6" s="19">
        <f>计算底表!F5</f>
        <v>129.715</v>
      </c>
      <c r="C6" s="19">
        <f>计算底表!H5</f>
        <v>3803.85</v>
      </c>
      <c r="D6" s="19">
        <f>计算底表!J5</f>
        <v>450.92099999999999</v>
      </c>
      <c r="E6" s="20">
        <f>计算底表!L5</f>
        <v>7701.2</v>
      </c>
      <c r="F6" s="20">
        <f>计算底表!M5</f>
        <v>18482.88</v>
      </c>
      <c r="G6" s="21"/>
      <c r="H6" s="20">
        <f>计算底表!L2+计算底表!H3+计算底表!F4</f>
        <v>5128.8289999999997</v>
      </c>
      <c r="I6" s="22">
        <f>计算底表!M2+计算底表!H3+计算底表!F4</f>
        <v>12251.468999999999</v>
      </c>
      <c r="J6" s="22">
        <f>计算底表!H2+计算底表!F3+计算底表!F4</f>
        <v>3782.1410000000001</v>
      </c>
      <c r="K6" s="22">
        <f>计算底表!L2+计算底表!F3+计算底表!F4</f>
        <v>5112.951</v>
      </c>
      <c r="L6" s="22">
        <f>计算底表!M2+计算底表!F3+计算底表!F4</f>
        <v>12235.591</v>
      </c>
    </row>
    <row r="7" spans="1:12" ht="62" customHeight="1">
      <c r="A7" s="23" t="s">
        <v>44</v>
      </c>
      <c r="B7" s="21">
        <f>计算底表!F2</f>
        <v>104.364</v>
      </c>
      <c r="C7" s="21">
        <f>计算底表!H2</f>
        <v>3756.79</v>
      </c>
      <c r="D7" s="21">
        <f>计算底表!J2</f>
        <v>429.56200000000001</v>
      </c>
      <c r="E7" s="21">
        <f>计算底表!L2</f>
        <v>5087.6000000000004</v>
      </c>
      <c r="F7" s="21">
        <f>计算底表!M2</f>
        <v>12210.24</v>
      </c>
      <c r="G7" s="21"/>
      <c r="H7" s="22">
        <f>计算底表!L2</f>
        <v>5087.6000000000004</v>
      </c>
      <c r="I7" s="22">
        <f>计算底表!M2</f>
        <v>12210.24</v>
      </c>
      <c r="J7" s="22">
        <f>计算底表!H2</f>
        <v>3756.79</v>
      </c>
      <c r="K7" s="22">
        <f>计算底表!L2</f>
        <v>5087.6000000000004</v>
      </c>
      <c r="L7" s="22">
        <f>计算底表!M2</f>
        <v>12210.24</v>
      </c>
    </row>
    <row r="8" spans="1:12" ht="62" customHeight="1">
      <c r="A8" s="23" t="s">
        <v>45</v>
      </c>
      <c r="B8" s="21">
        <f>计算底表!F3</f>
        <v>11.282</v>
      </c>
      <c r="C8" s="21">
        <f>计算底表!H3</f>
        <v>27.16</v>
      </c>
      <c r="D8" s="21">
        <f>计算底表!J3</f>
        <v>16.289000000000001</v>
      </c>
      <c r="E8" s="21">
        <f>计算底表!L3</f>
        <v>1334</v>
      </c>
      <c r="F8" s="21">
        <f>计算底表!M3</f>
        <v>3201.6</v>
      </c>
      <c r="G8" s="21"/>
      <c r="H8" s="22">
        <f>计算底表!H3</f>
        <v>27.16</v>
      </c>
      <c r="I8" s="22">
        <f>计算底表!H3</f>
        <v>27.16</v>
      </c>
      <c r="J8" s="22">
        <f>计算底表!F3</f>
        <v>11.282</v>
      </c>
      <c r="K8" s="22">
        <f>计算底表!F3</f>
        <v>11.282</v>
      </c>
      <c r="L8" s="22">
        <f>计算底表!F3</f>
        <v>11.282</v>
      </c>
    </row>
    <row r="9" spans="1:12" ht="62" customHeight="1">
      <c r="A9" s="23" t="s">
        <v>46</v>
      </c>
      <c r="B9" s="21">
        <f>计算底表!F4</f>
        <v>14.069000000000001</v>
      </c>
      <c r="C9" s="21">
        <f>计算底表!H4</f>
        <v>19.89</v>
      </c>
      <c r="D9" s="21">
        <f>计算底表!J4</f>
        <v>2.3969999999999998</v>
      </c>
      <c r="E9" s="21">
        <f>计算底表!L4</f>
        <v>1279.5999999999999</v>
      </c>
      <c r="F9" s="21">
        <f>计算底表!M4</f>
        <v>3071.04</v>
      </c>
      <c r="G9" s="21"/>
      <c r="H9" s="22">
        <f>计算底表!F4</f>
        <v>14.069000000000001</v>
      </c>
      <c r="I9" s="22">
        <f>计算底表!F4</f>
        <v>14.069000000000001</v>
      </c>
      <c r="J9" s="22">
        <f>计算底表!F4</f>
        <v>14.069000000000001</v>
      </c>
      <c r="K9" s="22">
        <f>计算底表!F4</f>
        <v>14.069000000000001</v>
      </c>
      <c r="L9" s="22">
        <f>计算底表!F4</f>
        <v>14.069000000000001</v>
      </c>
    </row>
    <row r="10" spans="1:12" ht="62" customHeight="1">
      <c r="A10" s="24" t="s">
        <v>47</v>
      </c>
      <c r="B10" s="25" t="s">
        <v>48</v>
      </c>
      <c r="C10" s="3" t="s">
        <v>49</v>
      </c>
      <c r="D10" s="3" t="s">
        <v>50</v>
      </c>
      <c r="E10" s="3" t="s">
        <v>51</v>
      </c>
      <c r="F10" s="26" t="s">
        <v>52</v>
      </c>
      <c r="G10" s="3" t="s">
        <v>53</v>
      </c>
      <c r="H10" s="17" t="s">
        <v>54</v>
      </c>
      <c r="I10" s="17" t="s">
        <v>55</v>
      </c>
      <c r="J10" s="17" t="s">
        <v>56</v>
      </c>
      <c r="K10" s="17" t="s">
        <v>54</v>
      </c>
      <c r="L10" s="17" t="s">
        <v>55</v>
      </c>
    </row>
  </sheetData>
  <mergeCells count="1">
    <mergeCell ref="A1:L1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showGridLines="0" workbookViewId="0"/>
  </sheetViews>
  <sheetFormatPr defaultColWidth="9" defaultRowHeight="14"/>
  <cols>
    <col min="1" max="1" width="24" customWidth="1"/>
    <col min="2" max="13" width="15" customWidth="1"/>
  </cols>
  <sheetData>
    <row r="1" spans="1:13" ht="32" customHeight="1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</row>
    <row r="2" spans="1:13" ht="32" customHeight="1">
      <c r="A2" s="5" t="s">
        <v>70</v>
      </c>
      <c r="B2" s="5">
        <v>125</v>
      </c>
      <c r="C2" s="5">
        <v>92</v>
      </c>
      <c r="D2" s="6">
        <v>75.798000000000002</v>
      </c>
      <c r="E2" s="6">
        <v>28.565999999999999</v>
      </c>
      <c r="F2" s="6">
        <f>D2+E2</f>
        <v>104.364</v>
      </c>
      <c r="G2" s="6">
        <v>125</v>
      </c>
      <c r="H2" s="6">
        <v>3756.79</v>
      </c>
      <c r="I2" s="6">
        <v>124</v>
      </c>
      <c r="J2" s="6">
        <v>429.56200000000001</v>
      </c>
      <c r="K2" s="6">
        <v>125</v>
      </c>
      <c r="L2" s="6">
        <v>5087.6000000000004</v>
      </c>
      <c r="M2" s="6">
        <f>L2*2.4</f>
        <v>12210.24</v>
      </c>
    </row>
    <row r="3" spans="1:13" ht="32" customHeight="1">
      <c r="A3" s="5" t="s">
        <v>71</v>
      </c>
      <c r="B3" s="5">
        <v>50</v>
      </c>
      <c r="C3" s="5">
        <v>50</v>
      </c>
      <c r="D3" s="6">
        <v>9.9480000000000004</v>
      </c>
      <c r="E3" s="6">
        <v>1.3340000000000001</v>
      </c>
      <c r="F3" s="6">
        <f>D3+E3</f>
        <v>11.282</v>
      </c>
      <c r="G3" s="6">
        <v>50</v>
      </c>
      <c r="H3" s="6">
        <v>27.16</v>
      </c>
      <c r="I3" s="6">
        <v>50</v>
      </c>
      <c r="J3" s="6">
        <v>16.289000000000001</v>
      </c>
      <c r="K3" s="6">
        <v>50</v>
      </c>
      <c r="L3" s="6">
        <v>1334</v>
      </c>
      <c r="M3" s="6">
        <f>L3*2.4</f>
        <v>3201.6</v>
      </c>
    </row>
    <row r="4" spans="1:13" ht="32" customHeight="1">
      <c r="A4" s="5" t="s">
        <v>72</v>
      </c>
      <c r="B4" s="5">
        <v>49</v>
      </c>
      <c r="C4" s="5">
        <v>49</v>
      </c>
      <c r="D4" s="6">
        <v>9.8190000000000008</v>
      </c>
      <c r="E4" s="6">
        <v>4.25</v>
      </c>
      <c r="F4" s="6">
        <f>D4+E4</f>
        <v>14.069000000000001</v>
      </c>
      <c r="G4" s="6">
        <v>0</v>
      </c>
      <c r="H4" s="6">
        <v>19.89</v>
      </c>
      <c r="I4" s="6">
        <v>13</v>
      </c>
      <c r="J4" s="6">
        <v>2.3969999999999998</v>
      </c>
      <c r="K4" s="6">
        <v>49</v>
      </c>
      <c r="L4" s="6">
        <v>1279.5999999999999</v>
      </c>
      <c r="M4" s="6">
        <f>L4*2.4</f>
        <v>3071.04</v>
      </c>
    </row>
    <row r="5" spans="1:13" ht="32" customHeight="1">
      <c r="A5" s="7" t="s">
        <v>73</v>
      </c>
      <c r="B5" s="7">
        <f t="shared" ref="B5:G5" si="0">SUM(B2:B4)</f>
        <v>224</v>
      </c>
      <c r="C5" s="7">
        <f t="shared" si="0"/>
        <v>191</v>
      </c>
      <c r="D5" s="8">
        <f t="shared" si="0"/>
        <v>95.564999999999998</v>
      </c>
      <c r="E5" s="8">
        <f t="shared" si="0"/>
        <v>34.15</v>
      </c>
      <c r="F5" s="8">
        <f t="shared" si="0"/>
        <v>129.715</v>
      </c>
      <c r="G5" s="8">
        <f t="shared" si="0"/>
        <v>175</v>
      </c>
      <c r="H5" s="8">
        <f>SUM(H2:H4)+0.01</f>
        <v>3803.85</v>
      </c>
      <c r="I5" s="8">
        <f>SUM(I2:I4)</f>
        <v>187</v>
      </c>
      <c r="J5" s="8">
        <f>SUM(J2:J4)+2.673</f>
        <v>450.92099999999999</v>
      </c>
      <c r="K5" s="8">
        <f>SUM(K2:K4)</f>
        <v>224</v>
      </c>
      <c r="L5" s="8">
        <f>SUM(L2:L4)</f>
        <v>7701.2</v>
      </c>
      <c r="M5" s="8">
        <f>SUM(M2:M4)</f>
        <v>18482.88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>
      <selection sqref="A1:F1"/>
    </sheetView>
  </sheetViews>
  <sheetFormatPr defaultColWidth="9" defaultRowHeight="14"/>
  <cols>
    <col min="1" max="1" width="18" customWidth="1"/>
    <col min="2" max="2" width="32" customWidth="1"/>
    <col min="3" max="3" width="38" customWidth="1"/>
    <col min="4" max="6" width="16" customWidth="1"/>
    <col min="8" max="9" width="18" customWidth="1"/>
    <col min="10" max="10" width="44" customWidth="1"/>
  </cols>
  <sheetData>
    <row r="1" spans="1:10" ht="16.5">
      <c r="A1" s="28" t="s">
        <v>74</v>
      </c>
      <c r="B1" s="28"/>
      <c r="C1" s="28"/>
      <c r="D1" s="28"/>
      <c r="E1" s="28"/>
      <c r="F1" s="28"/>
      <c r="G1" s="1"/>
      <c r="H1" s="1"/>
      <c r="I1" s="1"/>
      <c r="J1" s="1"/>
    </row>
    <row r="3" spans="1:10" ht="62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79</v>
      </c>
      <c r="H3" s="2" t="s">
        <v>80</v>
      </c>
      <c r="I3" s="2" t="s">
        <v>81</v>
      </c>
      <c r="J3" s="2" t="s">
        <v>82</v>
      </c>
    </row>
    <row r="4" spans="1:10" ht="62" customHeight="1">
      <c r="A4" s="3" t="s">
        <v>83</v>
      </c>
      <c r="B4" s="3" t="s">
        <v>84</v>
      </c>
      <c r="C4" s="3" t="s">
        <v>85</v>
      </c>
      <c r="D4" s="3" t="s">
        <v>86</v>
      </c>
      <c r="E4" s="3" t="s">
        <v>79</v>
      </c>
      <c r="F4" s="3" t="s">
        <v>79</v>
      </c>
      <c r="H4" s="3" t="s">
        <v>3</v>
      </c>
      <c r="I4" s="3" t="s">
        <v>87</v>
      </c>
      <c r="J4" s="3" t="s">
        <v>88</v>
      </c>
    </row>
    <row r="5" spans="1:10" ht="62" customHeight="1">
      <c r="A5" s="3" t="s">
        <v>2</v>
      </c>
      <c r="B5" s="3" t="s">
        <v>89</v>
      </c>
      <c r="C5" s="3" t="s">
        <v>90</v>
      </c>
      <c r="D5" s="3" t="s">
        <v>91</v>
      </c>
      <c r="E5" s="3" t="s">
        <v>79</v>
      </c>
      <c r="F5" s="3" t="s">
        <v>79</v>
      </c>
      <c r="H5" s="3" t="s">
        <v>92</v>
      </c>
      <c r="I5" s="3" t="s">
        <v>93</v>
      </c>
      <c r="J5" s="3" t="s">
        <v>94</v>
      </c>
    </row>
    <row r="6" spans="1:10" ht="62" customHeight="1">
      <c r="A6" s="3" t="s">
        <v>95</v>
      </c>
      <c r="B6" s="3" t="s">
        <v>96</v>
      </c>
      <c r="C6" s="3" t="s">
        <v>97</v>
      </c>
      <c r="D6" s="3" t="s">
        <v>98</v>
      </c>
      <c r="E6" s="3" t="s">
        <v>79</v>
      </c>
      <c r="F6" s="3" t="s">
        <v>79</v>
      </c>
      <c r="H6" s="3" t="s">
        <v>4</v>
      </c>
      <c r="I6" s="3" t="s">
        <v>99</v>
      </c>
      <c r="J6" s="3" t="s">
        <v>100</v>
      </c>
    </row>
    <row r="7" spans="1:10" ht="62" customHeight="1">
      <c r="A7" s="3" t="s">
        <v>3</v>
      </c>
      <c r="B7" s="3" t="s">
        <v>101</v>
      </c>
      <c r="C7" s="3" t="s">
        <v>102</v>
      </c>
      <c r="D7" s="3" t="s">
        <v>103</v>
      </c>
      <c r="E7" s="3" t="s">
        <v>79</v>
      </c>
      <c r="F7" s="3" t="s">
        <v>79</v>
      </c>
      <c r="H7" s="3" t="s">
        <v>104</v>
      </c>
      <c r="I7" s="3" t="s">
        <v>105</v>
      </c>
      <c r="J7" s="3" t="s">
        <v>106</v>
      </c>
    </row>
    <row r="8" spans="1:10" ht="62" customHeight="1">
      <c r="A8" s="3" t="s">
        <v>4</v>
      </c>
      <c r="B8" s="3" t="s">
        <v>107</v>
      </c>
      <c r="C8" s="3" t="s">
        <v>108</v>
      </c>
      <c r="D8" s="3" t="s">
        <v>109</v>
      </c>
      <c r="E8" s="3" t="s">
        <v>79</v>
      </c>
      <c r="F8" s="3" t="s">
        <v>79</v>
      </c>
      <c r="H8" s="3" t="s">
        <v>5</v>
      </c>
      <c r="I8" s="3" t="s">
        <v>110</v>
      </c>
      <c r="J8" s="3" t="s">
        <v>111</v>
      </c>
    </row>
    <row r="9" spans="1:10" ht="62" customHeight="1">
      <c r="A9" s="3" t="s">
        <v>5</v>
      </c>
      <c r="B9" s="3" t="s">
        <v>112</v>
      </c>
      <c r="C9" s="3" t="s">
        <v>113</v>
      </c>
      <c r="D9" s="3" t="s">
        <v>114</v>
      </c>
      <c r="E9" s="3" t="s">
        <v>79</v>
      </c>
      <c r="F9" s="3" t="s">
        <v>79</v>
      </c>
      <c r="H9" s="3" t="s">
        <v>115</v>
      </c>
      <c r="I9" s="3" t="s">
        <v>116</v>
      </c>
      <c r="J9" s="3" t="s">
        <v>117</v>
      </c>
    </row>
    <row r="10" spans="1:10" ht="62" customHeight="1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79</v>
      </c>
      <c r="F10" s="3" t="s">
        <v>79</v>
      </c>
      <c r="H10" s="3" t="s">
        <v>122</v>
      </c>
      <c r="I10" s="3" t="s">
        <v>123</v>
      </c>
      <c r="J10" s="3" t="s">
        <v>124</v>
      </c>
    </row>
  </sheetData>
  <mergeCells count="1">
    <mergeCell ref="A1:F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对比总表</vt:lpstr>
      <vt:lpstr>计算底表</vt:lpstr>
      <vt:lpstr>口径与资源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</dc:creator>
  <cp:lastModifiedBy>恩铄 朱</cp:lastModifiedBy>
  <dcterms:created xsi:type="dcterms:W3CDTF">2026-09-03T02:48:55Z</dcterms:created>
  <dcterms:modified xsi:type="dcterms:W3CDTF">2026-09-03T03:18:39Z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E709ED8AF95E4ADA84A29D2AD471A1E2_12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