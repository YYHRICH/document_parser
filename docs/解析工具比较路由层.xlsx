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zes\Desktop\document_parser\docs\"/>
    </mc:Choice>
  </mc:AlternateContent>
  <xr:revisionPtr revIDLastSave="0" documentId="8_{A904CCC6-A9EB-47C1-9129-326AD1FB0DB8}" xr6:coauthVersionLast="47" xr6:coauthVersionMax="47" xr10:uidLastSave="{00000000-0000-0000-0000-000000000000}"/>
  <bookViews>
    <workbookView xWindow="2660" yWindow="2660" windowWidth="19200" windowHeight="11710" xr2:uid="{00000000-000D-0000-FFFF-FFFF00000000}"/>
  </bookViews>
  <sheets>
    <sheet name="展示总表" sheetId="1" r:id="rId1"/>
    <sheet name="口径与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B55" i="1"/>
  <c r="E54" i="1"/>
  <c r="B54" i="1"/>
  <c r="D51" i="1"/>
  <c r="C51" i="1"/>
  <c r="B51" i="1"/>
  <c r="D50" i="1"/>
  <c r="C50" i="1"/>
  <c r="B50" i="1"/>
  <c r="D49" i="1"/>
  <c r="C49" i="1"/>
  <c r="B49" i="1"/>
  <c r="D47" i="1"/>
  <c r="C47" i="1"/>
  <c r="B47" i="1"/>
  <c r="D46" i="1"/>
  <c r="C46" i="1"/>
  <c r="B46" i="1"/>
  <c r="D43" i="1"/>
  <c r="C43" i="1"/>
  <c r="B43" i="1"/>
  <c r="D42" i="1"/>
  <c r="C42" i="1"/>
  <c r="B42" i="1"/>
  <c r="D39" i="1"/>
  <c r="C39" i="1"/>
  <c r="B39" i="1"/>
  <c r="D38" i="1"/>
  <c r="C38" i="1"/>
  <c r="B38" i="1"/>
  <c r="D35" i="1"/>
  <c r="C35" i="1"/>
  <c r="B35" i="1"/>
  <c r="D34" i="1"/>
  <c r="C34" i="1"/>
  <c r="B34" i="1"/>
  <c r="D31" i="1"/>
  <c r="C31" i="1"/>
  <c r="B31" i="1"/>
  <c r="D30" i="1"/>
  <c r="C30" i="1"/>
  <c r="B30" i="1"/>
</calcChain>
</file>

<file path=xl/sharedStrings.xml><?xml version="1.0" encoding="utf-8"?>
<sst xmlns="http://schemas.openxmlformats.org/spreadsheetml/2006/main" count="365" uniqueCount="272">
  <si>
    <r>
      <rPr>
        <b/>
        <sz val="16"/>
        <color rgb="FFFFFFFF"/>
        <rFont val="Calibri"/>
        <family val="2"/>
      </rPr>
      <t>文档解析方案实测对比汇总大表</t>
    </r>
  </si>
  <si>
    <t>文档解析方案实测对比汇总大表</t>
  </si>
  <si>
    <r>
      <t>一句话结论：</t>
    </r>
    <r>
      <rPr>
        <b/>
        <sz val="11"/>
        <color rgb="FF17365D"/>
        <rFont val="Times New Roman"/>
        <family val="1"/>
      </rPr>
      <t xml:space="preserve">Docling </t>
    </r>
    <r>
      <rPr>
        <b/>
        <sz val="11"/>
        <color rgb="FF17365D"/>
        <rFont val="宋体"/>
        <family val="3"/>
        <charset val="134"/>
      </rPr>
      <t>做通用主链路，</t>
    </r>
    <r>
      <rPr>
        <b/>
        <sz val="11"/>
        <color rgb="FF17365D"/>
        <rFont val="Times New Roman"/>
        <family val="1"/>
      </rPr>
      <t xml:space="preserve">AnyDoc </t>
    </r>
    <r>
      <rPr>
        <b/>
        <sz val="11"/>
        <color rgb="FF17365D"/>
        <rFont val="宋体"/>
        <family val="3"/>
        <charset val="134"/>
      </rPr>
      <t>做</t>
    </r>
    <r>
      <rPr>
        <b/>
        <sz val="11"/>
        <color rgb="FF17365D"/>
        <rFont val="Times New Roman"/>
        <family val="1"/>
      </rPr>
      <t xml:space="preserve"> </t>
    </r>
    <r>
      <rPr>
        <b/>
        <sz val="11"/>
        <color rgb="FF17365D"/>
        <rFont val="宋体"/>
        <family val="3"/>
        <charset val="134"/>
      </rPr>
      <t>文字</t>
    </r>
    <r>
      <rPr>
        <b/>
        <sz val="11"/>
        <color rgb="FF17365D"/>
        <rFont val="Times New Roman"/>
        <family val="1"/>
      </rPr>
      <t>Office/</t>
    </r>
    <r>
      <rPr>
        <b/>
        <sz val="11"/>
        <color rgb="FF17365D"/>
        <rFont val="宋体"/>
        <family val="3"/>
        <charset val="134"/>
      </rPr>
      <t>旧版</t>
    </r>
    <r>
      <rPr>
        <b/>
        <sz val="11"/>
        <color rgb="FF17365D"/>
        <rFont val="Times New Roman"/>
        <family val="1"/>
      </rPr>
      <t xml:space="preserve"> Office </t>
    </r>
    <r>
      <rPr>
        <b/>
        <sz val="11"/>
        <color rgb="FF17365D"/>
        <rFont val="宋体"/>
        <family val="3"/>
        <charset val="134"/>
      </rPr>
      <t>快速通道，</t>
    </r>
    <r>
      <rPr>
        <b/>
        <sz val="11"/>
        <color rgb="FF17365D"/>
        <rFont val="Times New Roman"/>
        <family val="1"/>
      </rPr>
      <t xml:space="preserve">MinerU </t>
    </r>
    <r>
      <rPr>
        <b/>
        <sz val="11"/>
        <color rgb="FF17365D"/>
        <rFont val="宋体"/>
        <family val="3"/>
        <charset val="134"/>
      </rPr>
      <t>做</t>
    </r>
    <r>
      <rPr>
        <b/>
        <sz val="11"/>
        <color rgb="FF17365D"/>
        <rFont val="Times New Roman"/>
        <family val="1"/>
      </rPr>
      <t xml:space="preserve"> PDF/</t>
    </r>
    <r>
      <rPr>
        <b/>
        <sz val="11"/>
        <color rgb="FF17365D"/>
        <rFont val="宋体"/>
        <family val="3"/>
        <charset val="134"/>
      </rPr>
      <t>图片复杂版面增强，</t>
    </r>
    <r>
      <rPr>
        <b/>
        <sz val="11"/>
        <color rgb="FF17365D"/>
        <rFont val="Times New Roman"/>
        <family val="1"/>
      </rPr>
      <t>MarkItDown</t>
    </r>
    <r>
      <rPr>
        <b/>
        <sz val="11"/>
        <color rgb="FF17365D"/>
        <rFont val="宋体"/>
        <family val="3"/>
        <charset val="134"/>
      </rPr>
      <t>暂不建议使用每个部分都有更好的。</t>
    </r>
  </si>
  <si>
    <t>一句话结论：Docling 做通用主链路，AnyDoc 做 Office/旧版 Office 快速通道，MinerU 做 PDF/图片复杂版面增强，MarkItDown 做长尾格式补充。</t>
  </si>
  <si>
    <r>
      <rPr>
        <sz val="11"/>
        <color rgb="FF404040"/>
        <rFont val="宋体"/>
        <family val="3"/>
        <charset val="134"/>
      </rPr>
      <t>阅读提示：✅</t>
    </r>
    <r>
      <rPr>
        <sz val="11"/>
        <color rgb="FF404040"/>
        <rFont val="Times New Roman"/>
        <family val="1"/>
      </rPr>
      <t xml:space="preserve"> </t>
    </r>
    <r>
      <rPr>
        <sz val="11"/>
        <color rgb="FF404040"/>
        <rFont val="宋体"/>
        <family val="3"/>
        <charset val="134"/>
      </rPr>
      <t>本批实测成功或已明确可用；⚠</t>
    </r>
    <r>
      <rPr>
        <sz val="11"/>
        <color rgb="FF404040"/>
        <rFont val="Calibri"/>
        <family val="2"/>
      </rPr>
      <t>️</t>
    </r>
    <r>
      <rPr>
        <sz val="11"/>
        <color rgb="FF404040"/>
        <rFont val="Times New Roman"/>
        <family val="1"/>
      </rPr>
      <t xml:space="preserve"> </t>
    </r>
    <r>
      <rPr>
        <sz val="11"/>
        <color rgb="FF404040"/>
        <rFont val="宋体"/>
        <family val="3"/>
        <charset val="134"/>
      </rPr>
      <t>有限制</t>
    </r>
    <r>
      <rPr>
        <sz val="11"/>
        <color rgb="FF404040"/>
        <rFont val="Times New Roman"/>
        <family val="1"/>
      </rPr>
      <t>/</t>
    </r>
    <r>
      <rPr>
        <sz val="11"/>
        <color rgb="FF404040"/>
        <rFont val="宋体"/>
        <family val="3"/>
        <charset val="134"/>
      </rPr>
      <t>需前置处理</t>
    </r>
    <r>
      <rPr>
        <sz val="11"/>
        <color rgb="FF404040"/>
        <rFont val="Times New Roman"/>
        <family val="1"/>
      </rPr>
      <t>/</t>
    </r>
    <r>
      <rPr>
        <sz val="11"/>
        <color rgb="FF404040"/>
        <rFont val="宋体"/>
        <family val="3"/>
        <charset val="134"/>
      </rPr>
      <t>仅官方能力；❌</t>
    </r>
    <r>
      <rPr>
        <sz val="11"/>
        <color rgb="FF404040"/>
        <rFont val="Times New Roman"/>
        <family val="1"/>
      </rPr>
      <t xml:space="preserve"> </t>
    </r>
    <r>
      <rPr>
        <sz val="11"/>
        <color rgb="FF404040"/>
        <rFont val="宋体"/>
        <family val="3"/>
        <charset val="134"/>
      </rPr>
      <t>不直接支持；</t>
    </r>
    <r>
      <rPr>
        <sz val="11"/>
        <color rgb="FF404040"/>
        <rFont val="Times New Roman"/>
        <family val="1"/>
      </rPr>
      <t>“</t>
    </r>
    <r>
      <rPr>
        <sz val="11"/>
        <color rgb="FF404040"/>
        <rFont val="宋体"/>
        <family val="3"/>
        <charset val="134"/>
      </rPr>
      <t>未测</t>
    </r>
    <r>
      <rPr>
        <sz val="11"/>
        <color rgb="FF404040"/>
        <rFont val="Times New Roman"/>
        <family val="1"/>
      </rPr>
      <t>”</t>
    </r>
    <r>
      <rPr>
        <sz val="11"/>
        <color rgb="FF404040"/>
        <rFont val="宋体"/>
        <family val="3"/>
        <charset val="134"/>
      </rPr>
      <t>表示该批次没有做同口径实测。耗时以秒计，</t>
    </r>
    <r>
      <rPr>
        <sz val="11"/>
        <color rgb="FF404040"/>
        <rFont val="Times New Roman"/>
        <family val="1"/>
      </rPr>
      <t xml:space="preserve">PDF </t>
    </r>
    <r>
      <rPr>
        <sz val="11"/>
        <color rgb="FF404040"/>
        <rFont val="宋体"/>
        <family val="3"/>
        <charset val="134"/>
      </rPr>
      <t>专项硬件不同，不作绝对速度排名。</t>
    </r>
  </si>
  <si>
    <t>阅读提示：✅ 本批实测成功或已明确可用；⚠️ 有限制/需前置处理/仅官方能力；❌ 不直接支持；“未测”表示该批次没有做同口径实测。耗时以秒计，PDF 专项硬件不同，不作绝对速度排名。</t>
  </si>
  <si>
    <r>
      <rPr>
        <b/>
        <sz val="12"/>
        <color rgb="FFFFFFFF"/>
        <rFont val="Carlito"/>
        <charset val="134"/>
      </rPr>
      <t>0</t>
    </r>
    <r>
      <rPr>
        <b/>
        <sz val="12"/>
        <color rgb="FFFFFFFF"/>
        <rFont val="宋体"/>
        <family val="3"/>
        <charset val="134"/>
      </rPr>
      <t>、结论性判定（先看这一页即可）</t>
    </r>
  </si>
  <si>
    <t>0、结论性判定（先看这一页即可）</t>
  </si>
  <si>
    <t>0、结论性判定</t>
  </si>
  <si>
    <t>结论项</t>
  </si>
  <si>
    <t>Docling</t>
  </si>
  <si>
    <t>AnyDoc</t>
  </si>
  <si>
    <t>MinerU</t>
  </si>
  <si>
    <t>MarkItDown</t>
  </si>
  <si>
    <t>资源占用级别（展示级别；括号为实测落盘）</t>
  </si>
  <si>
    <t>约180×级（1.377 GiB）</t>
  </si>
  <si>
    <t>1×基准（7.70 MiB）</t>
  </si>
  <si>
    <t>约410×级（3.15 GiB）</t>
  </si>
  <si>
    <t>约50×级（388.81 MiB）</t>
  </si>
  <si>
    <t>常规三类耗时效率（展示级别，非同硬件精确倍率）</t>
  </si>
  <si>
    <t>约120×级（常规三类合计 2180.201s）</t>
  </si>
  <si>
    <t>1×基准（常规三类合计 17.688s）</t>
  </si>
  <si>
    <t>约450×级（PDF专项 8049.84s；硬件/管线不同）</t>
  </si>
  <si>
    <t>约15×级（常规三类合计 253.437s）</t>
  </si>
  <si>
    <t>图片保留能力</t>
  </si>
  <si>
    <t xml:space="preserve">✅ 引用文件夹/占位符 / Base64 / </t>
  </si>
  <si>
    <t>× 原生不支持图片 ✅ 加脚本后支持</t>
  </si>
  <si>
    <t>✅ 引用文件夹（_assets；可服务化输出）</t>
  </si>
  <si>
    <t>⚠ 占位符 / Base64</t>
  </si>
  <si>
    <t>PDF</t>
  </si>
  <si>
    <t>可用但需复核（OCR 还行）</t>
  </si>
  <si>
    <t>❌不可用（无原生 OCR）</t>
  </si>
  <si>
    <t>✅ 可用，优先（OCR/版面更强）</t>
  </si>
  <si>
    <t>❌基本不可用</t>
  </si>
  <si>
    <t>常用office文档</t>
  </si>
  <si>
    <t>✅ 新版⚠ 旧版本身不行但有LibreOffice行</t>
  </si>
  <si>
    <t>✅ 新版旧版均支持</t>
  </si>
  <si>
    <t>⚠ 可用但版面较差</t>
  </si>
  <si>
    <t>其他格式支持</t>
  </si>
  <si>
    <t>✅ 可支持格式较多，几乎全覆盖</t>
  </si>
  <si>
    <t>❌</t>
  </si>
  <si>
    <t>⚠ 可支持较多，质量一般</t>
  </si>
  <si>
    <r>
      <rPr>
        <b/>
        <sz val="12"/>
        <color rgb="FFFFFFFF"/>
        <rFont val="Calibri"/>
        <family val="2"/>
      </rPr>
      <t>一、部署情况</t>
    </r>
  </si>
  <si>
    <t>一、部署情况</t>
  </si>
  <si>
    <r>
      <rPr>
        <b/>
        <sz val="11"/>
        <color rgb="FF17365D"/>
        <rFont val="Calibri"/>
        <family val="2"/>
      </rPr>
      <t>对比维度</t>
    </r>
  </si>
  <si>
    <r>
      <rPr>
        <sz val="11"/>
        <rFont val="Calibri"/>
        <family val="2"/>
      </rPr>
      <t>软件版本</t>
    </r>
  </si>
  <si>
    <t>2.117.0</t>
  </si>
  <si>
    <t>0.1.6</t>
  </si>
  <si>
    <t>0.1.7</t>
  </si>
  <si>
    <t>3.4.4</t>
  </si>
  <si>
    <r>
      <rPr>
        <sz val="11"/>
        <rFont val="Calibri"/>
        <family val="2"/>
      </rPr>
      <t>测试设备</t>
    </r>
    <r>
      <rPr>
        <sz val="11"/>
        <rFont val="Times New Roman"/>
        <family val="1"/>
      </rPr>
      <t xml:space="preserve"> / </t>
    </r>
    <r>
      <rPr>
        <sz val="11"/>
        <rFont val="Calibri"/>
        <family val="2"/>
      </rPr>
      <t>系统</t>
    </r>
  </si>
  <si>
    <r>
      <t>Windows</t>
    </r>
    <r>
      <rPr>
        <sz val="11"/>
        <rFont val="宋体"/>
        <family val="3"/>
        <charset val="134"/>
      </rPr>
      <t>；</t>
    </r>
    <r>
      <rPr>
        <sz val="11"/>
        <rFont val="Times New Roman"/>
        <family val="1"/>
      </rPr>
      <t>Ryzen 5 5600GT</t>
    </r>
    <r>
      <rPr>
        <sz val="11"/>
        <rFont val="宋体"/>
        <family val="3"/>
        <charset val="134"/>
      </rPr>
      <t>；约</t>
    </r>
    <r>
      <rPr>
        <sz val="11"/>
        <rFont val="Times New Roman"/>
        <family val="1"/>
      </rPr>
      <t>13.9 GiB</t>
    </r>
    <r>
      <rPr>
        <sz val="11"/>
        <rFont val="宋体"/>
        <family val="3"/>
        <charset val="134"/>
      </rPr>
      <t>；</t>
    </r>
    <r>
      <rPr>
        <sz val="11"/>
        <rFont val="Times New Roman"/>
        <family val="1"/>
      </rPr>
      <t>CPU</t>
    </r>
  </si>
  <si>
    <r>
      <rPr>
        <sz val="11"/>
        <rFont val="Calibri"/>
        <family val="2"/>
      </rPr>
      <t>同左；</t>
    </r>
    <r>
      <rPr>
        <sz val="11"/>
        <rFont val="Times New Roman"/>
        <family val="1"/>
      </rPr>
      <t xml:space="preserve">Node.js 24.18.0 + Rust </t>
    </r>
    <r>
      <rPr>
        <sz val="11"/>
        <rFont val="Calibri"/>
        <family val="2"/>
      </rPr>
      <t>原生模块</t>
    </r>
  </si>
  <si>
    <r>
      <rPr>
        <sz val="11"/>
        <rFont val="Calibri"/>
        <family val="2"/>
      </rPr>
      <t>同左；</t>
    </r>
    <r>
      <rPr>
        <sz val="11"/>
        <rFont val="Times New Roman"/>
        <family val="1"/>
      </rPr>
      <t>Python 3.12.13</t>
    </r>
  </si>
  <si>
    <r>
      <rPr>
        <sz val="11"/>
        <rFont val="Times New Roman"/>
        <family val="1"/>
      </rPr>
      <t>MacBook Air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Apple M5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32 GB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macOS 26.5.2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MLX/Metal</t>
    </r>
  </si>
  <si>
    <r>
      <rPr>
        <sz val="11"/>
        <rFont val="Calibri"/>
        <family val="2"/>
      </rPr>
      <t>安装</t>
    </r>
    <r>
      <rPr>
        <sz val="11"/>
        <rFont val="Times New Roman"/>
        <family val="1"/>
      </rPr>
      <t xml:space="preserve"> / </t>
    </r>
    <r>
      <rPr>
        <sz val="11"/>
        <rFont val="Calibri"/>
        <family val="2"/>
      </rPr>
      <t>部署方式</t>
    </r>
  </si>
  <si>
    <r>
      <rPr>
        <sz val="11"/>
        <rFont val="Calibri"/>
        <family val="2"/>
      </rPr>
      <t>独立</t>
    </r>
    <r>
      <rPr>
        <sz val="11"/>
        <rFont val="Times New Roman"/>
        <family val="1"/>
      </rPr>
      <t xml:space="preserve"> Python venv + </t>
    </r>
    <r>
      <rPr>
        <sz val="11"/>
        <rFont val="Calibri"/>
        <family val="2"/>
      </rPr>
      <t>本地模型；缓存后离线</t>
    </r>
  </si>
  <si>
    <r>
      <rPr>
        <sz val="11"/>
        <rFont val="Times New Roman"/>
        <family val="1"/>
      </rPr>
      <t xml:space="preserve">npm </t>
    </r>
    <r>
      <rPr>
        <sz val="11"/>
        <rFont val="Calibri"/>
        <family val="2"/>
      </rPr>
      <t>全局安装；无模型</t>
    </r>
  </si>
  <si>
    <r>
      <rPr>
        <sz val="11"/>
        <rFont val="Calibri"/>
        <family val="2"/>
      </rPr>
      <t>独立</t>
    </r>
    <r>
      <rPr>
        <sz val="11"/>
        <rFont val="Times New Roman"/>
        <family val="1"/>
      </rPr>
      <t xml:space="preserve"> Python venv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markitdown[all]</t>
    </r>
  </si>
  <si>
    <r>
      <rPr>
        <sz val="11"/>
        <rFont val="Calibri"/>
        <family val="2"/>
      </rPr>
      <t>独立</t>
    </r>
    <r>
      <rPr>
        <sz val="11"/>
        <rFont val="Times New Roman"/>
        <family val="1"/>
      </rPr>
      <t xml:space="preserve"> Python venv + ModelScope </t>
    </r>
    <r>
      <rPr>
        <sz val="11"/>
        <rFont val="Calibri"/>
        <family val="2"/>
      </rPr>
      <t>模型；</t>
    </r>
    <r>
      <rPr>
        <sz val="11"/>
        <rFont val="Times New Roman"/>
        <family val="1"/>
      </rPr>
      <t>hybrid-engine</t>
    </r>
  </si>
  <si>
    <r>
      <rPr>
        <sz val="11"/>
        <rFont val="Calibri"/>
        <family val="2"/>
      </rPr>
      <t>实际磁盘占用</t>
    </r>
  </si>
  <si>
    <r>
      <rPr>
        <b/>
        <sz val="11"/>
        <rFont val="Calibri"/>
        <family val="2"/>
      </rPr>
      <t>约</t>
    </r>
    <r>
      <rPr>
        <b/>
        <sz val="11"/>
        <rFont val="Times New Roman"/>
        <family val="1"/>
      </rPr>
      <t xml:space="preserve"> 2.692 GiB</t>
    </r>
  </si>
  <si>
    <r>
      <rPr>
        <b/>
        <sz val="11"/>
        <color rgb="FFFF0000"/>
        <rFont val="Calibri"/>
        <family val="2"/>
      </rPr>
      <t>约</t>
    </r>
    <r>
      <rPr>
        <b/>
        <sz val="11"/>
        <color rgb="FFFF0000"/>
        <rFont val="Times New Roman"/>
        <family val="1"/>
      </rPr>
      <t xml:space="preserve"> 7.70 MiB</t>
    </r>
  </si>
  <si>
    <r>
      <rPr>
        <b/>
        <sz val="11"/>
        <color rgb="FFFF0000"/>
        <rFont val="Calibri"/>
        <family val="2"/>
      </rPr>
      <t>约</t>
    </r>
    <r>
      <rPr>
        <b/>
        <sz val="11"/>
        <color rgb="FFFF0000"/>
        <rFont val="Times New Roman"/>
        <family val="1"/>
      </rPr>
      <t xml:space="preserve"> 388.81 MiB</t>
    </r>
  </si>
  <si>
    <r>
      <rPr>
        <b/>
        <sz val="11"/>
        <rFont val="Calibri"/>
        <family val="2"/>
      </rPr>
      <t>约</t>
    </r>
    <r>
      <rPr>
        <b/>
        <sz val="11"/>
        <rFont val="Times New Roman"/>
        <family val="1"/>
      </rPr>
      <t xml:space="preserve"> 4.77 GiB</t>
    </r>
  </si>
  <si>
    <r>
      <rPr>
        <sz val="11"/>
        <rFont val="Calibri"/>
        <family val="2"/>
      </rPr>
      <t>占用说明</t>
    </r>
  </si>
  <si>
    <r>
      <t xml:space="preserve">venv </t>
    </r>
    <r>
      <rPr>
        <sz val="11"/>
        <rFont val="宋体"/>
        <family val="3"/>
        <charset val="134"/>
      </rPr>
      <t>约</t>
    </r>
    <r>
      <rPr>
        <sz val="11"/>
        <rFont val="Times New Roman"/>
        <family val="1"/>
      </rPr>
      <t>1.315 GiB</t>
    </r>
    <r>
      <rPr>
        <sz val="11"/>
        <rFont val="宋体"/>
        <family val="3"/>
        <charset val="134"/>
      </rPr>
      <t>；</t>
    </r>
    <r>
      <rPr>
        <b/>
        <sz val="11"/>
        <color rgb="FFFF0000"/>
        <rFont val="宋体"/>
        <family val="3"/>
        <charset val="134"/>
      </rPr>
      <t>模型约</t>
    </r>
    <r>
      <rPr>
        <b/>
        <sz val="11"/>
        <color rgb="FFFF0000"/>
        <rFont val="Times New Roman"/>
        <family val="1"/>
      </rPr>
      <t>1.377 GiB</t>
    </r>
  </si>
  <si>
    <r>
      <rPr>
        <sz val="11"/>
        <rFont val="Calibri"/>
        <family val="2"/>
      </rPr>
      <t>仅解析器本体；不含</t>
    </r>
    <r>
      <rPr>
        <sz val="11"/>
        <rFont val="Times New Roman"/>
        <family val="1"/>
      </rPr>
      <t xml:space="preserve"> Node/npm </t>
    </r>
    <r>
      <rPr>
        <sz val="11"/>
        <rFont val="Calibri"/>
        <family val="2"/>
      </rPr>
      <t>缓存</t>
    </r>
  </si>
  <si>
    <r>
      <rPr>
        <sz val="11"/>
        <rFont val="Calibri"/>
        <family val="2"/>
      </rPr>
      <t>含全部可选格式依赖；不含</t>
    </r>
    <r>
      <rPr>
        <sz val="11"/>
        <rFont val="Times New Roman"/>
        <family val="1"/>
      </rPr>
      <t xml:space="preserve"> pip </t>
    </r>
    <r>
      <rPr>
        <sz val="11"/>
        <rFont val="Calibri"/>
        <family val="2"/>
      </rPr>
      <t>缓存</t>
    </r>
  </si>
  <si>
    <r>
      <t>venv</t>
    </r>
    <r>
      <rPr>
        <sz val="11"/>
        <rFont val="宋体"/>
        <family val="3"/>
        <charset val="134"/>
      </rPr>
      <t>约</t>
    </r>
    <r>
      <rPr>
        <sz val="11"/>
        <rFont val="Times New Roman"/>
        <family val="1"/>
      </rPr>
      <t xml:space="preserve">1.62 GiB + </t>
    </r>
    <r>
      <rPr>
        <b/>
        <sz val="11"/>
        <color rgb="FFFF0000"/>
        <rFont val="宋体"/>
        <family val="3"/>
        <charset val="134"/>
      </rPr>
      <t>模型约</t>
    </r>
    <r>
      <rPr>
        <b/>
        <sz val="11"/>
        <color rgb="FFFF0000"/>
        <rFont val="Times New Roman"/>
        <family val="1"/>
      </rPr>
      <t>3.15 GiB</t>
    </r>
    <r>
      <rPr>
        <sz val="11"/>
        <rFont val="宋体"/>
        <family val="3"/>
        <charset val="134"/>
      </rPr>
      <t>；</t>
    </r>
    <r>
      <rPr>
        <sz val="11"/>
        <rFont val="Times New Roman"/>
        <family val="1"/>
      </rPr>
      <t>High/Hybrid</t>
    </r>
    <r>
      <rPr>
        <sz val="11"/>
        <rFont val="宋体"/>
        <family val="3"/>
        <charset val="134"/>
      </rPr>
      <t>环境记录</t>
    </r>
  </si>
  <si>
    <r>
      <rPr>
        <sz val="11"/>
        <rFont val="Times New Roman"/>
        <family val="1"/>
      </rPr>
      <t xml:space="preserve">GPU / </t>
    </r>
    <r>
      <rPr>
        <sz val="11"/>
        <rFont val="Calibri"/>
        <family val="2"/>
      </rPr>
      <t>资源要求</t>
    </r>
  </si>
  <si>
    <r>
      <rPr>
        <sz val="11"/>
        <rFont val="Times New Roman"/>
        <family val="1"/>
      </rPr>
      <t xml:space="preserve">GPU </t>
    </r>
    <r>
      <rPr>
        <sz val="11"/>
        <rFont val="Calibri"/>
        <family val="2"/>
      </rPr>
      <t>非必需；本次纯</t>
    </r>
    <r>
      <rPr>
        <sz val="11"/>
        <rFont val="Times New Roman"/>
        <family val="1"/>
      </rPr>
      <t xml:space="preserve"> CPU </t>
    </r>
    <r>
      <rPr>
        <sz val="11"/>
        <rFont val="Calibri"/>
        <family val="2"/>
      </rPr>
      <t>完成</t>
    </r>
  </si>
  <si>
    <r>
      <rPr>
        <sz val="11"/>
        <rFont val="Times New Roman"/>
        <family val="1"/>
      </rPr>
      <t xml:space="preserve">GPU </t>
    </r>
    <r>
      <rPr>
        <sz val="11"/>
        <rFont val="Calibri"/>
        <family val="2"/>
      </rPr>
      <t>非必需</t>
    </r>
  </si>
  <si>
    <r>
      <rPr>
        <sz val="11"/>
        <rFont val="Times New Roman"/>
        <family val="1"/>
      </rPr>
      <t xml:space="preserve">GPU </t>
    </r>
    <r>
      <rPr>
        <sz val="11"/>
        <rFont val="Calibri"/>
        <family val="2"/>
      </rPr>
      <t>非必需；视觉</t>
    </r>
    <r>
      <rPr>
        <sz val="11"/>
        <rFont val="Times New Roman"/>
        <family val="1"/>
      </rPr>
      <t>/OCR</t>
    </r>
    <r>
      <rPr>
        <sz val="11"/>
        <rFont val="Calibri"/>
        <family val="2"/>
      </rPr>
      <t>扩展另计</t>
    </r>
  </si>
  <si>
    <r>
      <rPr>
        <sz val="11"/>
        <rFont val="Calibri"/>
        <family val="2"/>
      </rPr>
      <t>本次使用</t>
    </r>
    <r>
      <rPr>
        <sz val="11"/>
        <rFont val="Times New Roman"/>
        <family val="1"/>
      </rPr>
      <t xml:space="preserve"> M5 GPU/</t>
    </r>
    <r>
      <rPr>
        <sz val="11"/>
        <rFont val="Calibri"/>
        <family val="2"/>
      </rPr>
      <t>统一内存；高精度后端资源更重</t>
    </r>
  </si>
  <si>
    <r>
      <rPr>
        <sz val="11"/>
        <rFont val="Calibri"/>
        <family val="2"/>
      </rPr>
      <t>隐私</t>
    </r>
    <r>
      <rPr>
        <sz val="11"/>
        <rFont val="Times New Roman"/>
        <family val="1"/>
      </rPr>
      <t xml:space="preserve"> / </t>
    </r>
    <r>
      <rPr>
        <sz val="11"/>
        <rFont val="Calibri"/>
        <family val="2"/>
      </rPr>
      <t>离线</t>
    </r>
  </si>
  <si>
    <r>
      <rPr>
        <sz val="11"/>
        <rFont val="Calibri"/>
        <family val="2"/>
      </rPr>
      <t>模型缓存后可完全离线，适合敏感资料</t>
    </r>
  </si>
  <si>
    <r>
      <rPr>
        <sz val="11"/>
        <rFont val="Calibri"/>
        <family val="2"/>
      </rPr>
      <t>核心转换本地、可离线</t>
    </r>
  </si>
  <si>
    <r>
      <rPr>
        <sz val="11"/>
        <rFont val="Calibri"/>
        <family val="2"/>
      </rPr>
      <t>默认本地；</t>
    </r>
    <r>
      <rPr>
        <sz val="11"/>
        <rFont val="Times New Roman"/>
        <family val="1"/>
      </rPr>
      <t xml:space="preserve">Azure/LLM OCR </t>
    </r>
    <r>
      <rPr>
        <sz val="11"/>
        <rFont val="Calibri"/>
        <family val="2"/>
      </rPr>
      <t>扩展需联网</t>
    </r>
  </si>
  <si>
    <r>
      <rPr>
        <sz val="11"/>
        <rFont val="Calibri"/>
        <family val="2"/>
      </rPr>
      <t>本次本地模型可离线；云端</t>
    </r>
    <r>
      <rPr>
        <sz val="11"/>
        <rFont val="Times New Roman"/>
        <family val="1"/>
      </rPr>
      <t>/HTTP</t>
    </r>
    <r>
      <rPr>
        <sz val="11"/>
        <rFont val="Calibri"/>
        <family val="2"/>
      </rPr>
      <t>模式需合规评估</t>
    </r>
  </si>
  <si>
    <r>
      <rPr>
        <sz val="11"/>
        <rFont val="Calibri"/>
        <family val="2"/>
      </rPr>
      <t>运维判断</t>
    </r>
  </si>
  <si>
    <r>
      <rPr>
        <sz val="11"/>
        <rFont val="Calibri"/>
        <family val="2"/>
      </rPr>
      <t>中等：</t>
    </r>
    <r>
      <rPr>
        <sz val="11"/>
        <rFont val="Times New Roman"/>
        <family val="1"/>
      </rPr>
      <t>Python</t>
    </r>
    <r>
      <rPr>
        <sz val="11"/>
        <rFont val="Calibri"/>
        <family val="2"/>
      </rPr>
      <t>、模型、</t>
    </r>
    <r>
      <rPr>
        <sz val="11"/>
        <rFont val="Times New Roman"/>
        <family val="1"/>
      </rPr>
      <t>OCR</t>
    </r>
    <r>
      <rPr>
        <sz val="11"/>
        <rFont val="Calibri"/>
        <family val="2"/>
      </rPr>
      <t>后端</t>
    </r>
  </si>
  <si>
    <r>
      <rPr>
        <sz val="11"/>
        <rFont val="Calibri"/>
        <family val="2"/>
      </rPr>
      <t>最低：单原生模块、无模型</t>
    </r>
  </si>
  <si>
    <r>
      <rPr>
        <sz val="11"/>
        <rFont val="Calibri"/>
        <family val="2"/>
      </rPr>
      <t>低到中等：依赖按格式扩展</t>
    </r>
  </si>
  <si>
    <r>
      <rPr>
        <sz val="11"/>
        <rFont val="Calibri"/>
        <family val="2"/>
      </rPr>
      <t>最高：模型、推理后端、统一内存和服务化</t>
    </r>
  </si>
  <si>
    <r>
      <rPr>
        <b/>
        <sz val="12"/>
        <color rgb="FFFFFFFF"/>
        <rFont val="Calibri"/>
        <family val="2"/>
      </rPr>
      <t>二、常用办公格式耗时（同一批</t>
    </r>
    <r>
      <rPr>
        <b/>
        <sz val="12"/>
        <color rgb="FFFFFFFF"/>
        <rFont val="Times New Roman"/>
        <family val="1"/>
      </rPr>
      <t xml:space="preserve"> 20 </t>
    </r>
    <r>
      <rPr>
        <b/>
        <sz val="12"/>
        <color rgb="FFFFFFFF"/>
        <rFont val="Calibri"/>
        <family val="2"/>
      </rPr>
      <t>份</t>
    </r>
    <r>
      <rPr>
        <b/>
        <sz val="12"/>
        <color rgb="FFFFFFFF"/>
        <rFont val="Times New Roman"/>
        <family val="1"/>
      </rPr>
      <t>/</t>
    </r>
    <r>
      <rPr>
        <b/>
        <sz val="12"/>
        <color rgb="FFFFFFFF"/>
        <rFont val="Calibri"/>
        <family val="2"/>
      </rPr>
      <t>类；</t>
    </r>
    <r>
      <rPr>
        <b/>
        <sz val="12"/>
        <color rgb="FFFFFFFF"/>
        <rFont val="Times New Roman"/>
        <family val="1"/>
      </rPr>
      <t xml:space="preserve">100 </t>
    </r>
    <r>
      <rPr>
        <b/>
        <sz val="12"/>
        <color rgb="FFFFFFFF"/>
        <rFont val="Calibri"/>
        <family val="2"/>
      </rPr>
      <t>份、</t>
    </r>
    <r>
      <rPr>
        <b/>
        <sz val="12"/>
        <color rgb="FFFFFFFF"/>
        <rFont val="Times New Roman"/>
        <family val="1"/>
      </rPr>
      <t xml:space="preserve">897 </t>
    </r>
    <r>
      <rPr>
        <b/>
        <sz val="12"/>
        <color rgb="FFFFFFFF"/>
        <rFont val="Calibri"/>
        <family val="2"/>
      </rPr>
      <t>页）</t>
    </r>
  </si>
  <si>
    <t>二、常用办公格式耗时（同一批 20 份/类；100 份、897 页）</t>
  </si>
  <si>
    <r>
      <rPr>
        <b/>
        <sz val="11"/>
        <color rgb="FF17365D"/>
        <rFont val="Calibri"/>
        <family val="2"/>
      </rPr>
      <t>测试项</t>
    </r>
  </si>
  <si>
    <r>
      <rPr>
        <sz val="11"/>
        <rFont val="Times New Roman"/>
        <family val="1"/>
      </rPr>
      <t>DOCX</t>
    </r>
    <r>
      <rPr>
        <sz val="11"/>
        <rFont val="Calibri"/>
        <family val="2"/>
      </rPr>
      <t>（</t>
    </r>
    <r>
      <rPr>
        <sz val="11"/>
        <rFont val="Times New Roman"/>
        <family val="1"/>
      </rPr>
      <t>20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/254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</si>
  <si>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t>20/20</t>
  </si>
  <si>
    <r>
      <rPr>
        <b/>
        <sz val="11"/>
        <rFont val="Times New Roman"/>
        <family val="1"/>
      </rPr>
      <t xml:space="preserve">DOCX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</si>
  <si>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Times New Roman"/>
        <family val="1"/>
      </rPr>
      <t xml:space="preserve">DOCX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</si>
  <si>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 xml:space="preserve">DOCX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</si>
  <si>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Times New Roman"/>
        <family val="1"/>
      </rPr>
      <t>PPTX</t>
    </r>
    <r>
      <rPr>
        <sz val="11"/>
        <rFont val="Calibri"/>
        <family val="2"/>
      </rPr>
      <t>（</t>
    </r>
    <r>
      <rPr>
        <sz val="11"/>
        <rFont val="Times New Roman"/>
        <family val="1"/>
      </rPr>
      <t>20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/290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</si>
  <si>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r>
      <rPr>
        <b/>
        <sz val="11"/>
        <rFont val="Times New Roman"/>
        <family val="1"/>
      </rPr>
      <t xml:space="preserve">PPTX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</si>
  <si>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Times New Roman"/>
        <family val="1"/>
      </rPr>
      <t xml:space="preserve">PPTX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</si>
  <si>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 xml:space="preserve">PPTX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</si>
  <si>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文字型（</t>
    </r>
    <r>
      <rPr>
        <sz val="11"/>
        <rFont val="Times New Roman"/>
        <family val="1"/>
      </rPr>
      <t>docx</t>
    </r>
    <r>
      <rPr>
        <sz val="11"/>
        <rFont val="Calibri"/>
        <family val="2"/>
      </rPr>
      <t>转，</t>
    </r>
    <r>
      <rPr>
        <sz val="11"/>
        <rFont val="Times New Roman"/>
        <family val="1"/>
      </rPr>
      <t>20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/254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</si>
  <si>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文字型</t>
    </r>
    <r>
      <rPr>
        <b/>
        <sz val="11"/>
        <rFont val="Times New Roman"/>
        <family val="1"/>
      </rPr>
      <t xml:space="preserve">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</si>
  <si>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文字型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</si>
  <si>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文字型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</si>
  <si>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扫描型（</t>
    </r>
    <r>
      <rPr>
        <sz val="11"/>
        <rFont val="Times New Roman"/>
        <family val="1"/>
      </rPr>
      <t>20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/79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</si>
  <si>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t>14/20</t>
  </si>
  <si>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扫描型</t>
    </r>
    <r>
      <rPr>
        <b/>
        <sz val="11"/>
        <rFont val="Times New Roman"/>
        <family val="1"/>
      </rPr>
      <t xml:space="preserve">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</si>
  <si>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扫描型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</si>
  <si>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扫描型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</si>
  <si>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拍照型（</t>
    </r>
    <r>
      <rPr>
        <sz val="11"/>
        <rFont val="Times New Roman"/>
        <family val="1"/>
      </rPr>
      <t>20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/20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</si>
  <si>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t>0/20</t>
  </si>
  <si>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拍照型</t>
    </r>
    <r>
      <rPr>
        <b/>
        <sz val="11"/>
        <rFont val="Times New Roman"/>
        <family val="1"/>
      </rPr>
      <t xml:space="preserve">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</si>
  <si>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拍照型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</si>
  <si>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拍照型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</si>
  <si>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Calibri"/>
        <family val="2"/>
      </rPr>
      <t>常规三类合计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</si>
  <si>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t>100/100</t>
  </si>
  <si>
    <t>74/100</t>
  </si>
  <si>
    <t>80/100</t>
  </si>
  <si>
    <r>
      <rPr>
        <b/>
        <sz val="11"/>
        <rFont val="Calibri"/>
        <family val="2"/>
      </rPr>
      <t>常规三类合计</t>
    </r>
    <r>
      <rPr>
        <b/>
        <sz val="11"/>
        <rFont val="Times New Roman"/>
        <family val="1"/>
      </rPr>
      <t xml:space="preserve">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）</t>
    </r>
  </si>
  <si>
    <r>
      <rPr>
        <sz val="11"/>
        <rFont val="Calibri"/>
        <family val="2"/>
      </rPr>
      <t>常规三类合计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</si>
  <si>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Calibri"/>
        <family val="2"/>
      </rPr>
      <t>常规三类合计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</si>
  <si>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专项同源（</t>
    </r>
    <r>
      <rPr>
        <sz val="11"/>
        <rFont val="Times New Roman"/>
        <family val="1"/>
      </rPr>
      <t>200</t>
    </r>
    <r>
      <rPr>
        <sz val="11"/>
        <rFont val="Calibri"/>
        <family val="2"/>
      </rPr>
      <t>份</t>
    </r>
    <r>
      <rPr>
        <sz val="11"/>
        <rFont val="Times New Roman"/>
        <family val="1"/>
      </rPr>
      <t>/619</t>
    </r>
    <r>
      <rPr>
        <sz val="11"/>
        <rFont val="Calibri"/>
        <family val="2"/>
      </rPr>
      <t>页）</t>
    </r>
    <r>
      <rPr>
        <sz val="11"/>
        <rFont val="Times New Roman"/>
        <family val="1"/>
      </rPr>
      <t xml:space="preserve">· </t>
    </r>
    <r>
      <rPr>
        <sz val="11"/>
        <rFont val="Calibri"/>
        <family val="2"/>
      </rPr>
      <t>成功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输入</t>
    </r>
  </si>
  <si>
    <t>200/200</t>
  </si>
  <si>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专项</t>
    </r>
    <r>
      <rPr>
        <b/>
        <sz val="11"/>
        <rFont val="Times New Roman"/>
        <family val="1"/>
      </rPr>
      <t xml:space="preserve"> · </t>
    </r>
    <r>
      <rPr>
        <b/>
        <sz val="11"/>
        <rFont val="Calibri"/>
        <family val="2"/>
      </rPr>
      <t>总耗时（</t>
    </r>
    <r>
      <rPr>
        <b/>
        <sz val="11"/>
        <rFont val="Times New Roman"/>
        <family val="1"/>
      </rPr>
      <t>s</t>
    </r>
    <r>
      <rPr>
        <b/>
        <sz val="11"/>
        <rFont val="Calibri"/>
        <family val="2"/>
      </rPr>
      <t>，约）</t>
    </r>
  </si>
  <si>
    <r>
      <rPr>
        <b/>
        <sz val="11"/>
        <rFont val="Calibri"/>
        <family val="2"/>
      </rPr>
      <t>（</t>
    </r>
    <r>
      <rPr>
        <b/>
        <sz val="11"/>
        <rFont val="Times New Roman"/>
        <family val="1"/>
      </rPr>
      <t>high</t>
    </r>
    <r>
      <rPr>
        <b/>
        <sz val="11"/>
        <rFont val="Calibri"/>
        <family val="2"/>
      </rPr>
      <t>）</t>
    </r>
    <r>
      <rPr>
        <b/>
        <sz val="11"/>
        <rFont val="Times New Roman"/>
        <family val="1"/>
      </rPr>
      <t>15274s</t>
    </r>
  </si>
  <si>
    <r>
      <rPr>
        <b/>
        <sz val="11"/>
        <rFont val="Calibri"/>
        <family val="2"/>
      </rPr>
      <t>（</t>
    </r>
    <r>
      <rPr>
        <b/>
        <sz val="11"/>
        <rFont val="Times New Roman"/>
        <family val="1"/>
      </rPr>
      <t>high</t>
    </r>
    <r>
      <rPr>
        <b/>
        <sz val="11"/>
        <rFont val="Calibri"/>
        <family val="2"/>
      </rPr>
      <t>）</t>
    </r>
    <r>
      <rPr>
        <b/>
        <sz val="11"/>
        <rFont val="Times New Roman"/>
        <family val="1"/>
      </rPr>
      <t>4h14m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</si>
  <si>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专项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单文件平均（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文件）</t>
    </r>
  </si>
  <si>
    <r>
      <rPr>
        <sz val="11"/>
        <rFont val="Times New Roman"/>
        <family val="1"/>
      </rPr>
      <t>PDF</t>
    </r>
    <r>
      <rPr>
        <sz val="11"/>
        <rFont val="Calibri"/>
        <family val="2"/>
      </rPr>
      <t>专项</t>
    </r>
    <r>
      <rPr>
        <sz val="11"/>
        <rFont val="Times New Roman"/>
        <family val="1"/>
      </rPr>
      <t xml:space="preserve"> · </t>
    </r>
    <r>
      <rPr>
        <sz val="11"/>
        <rFont val="Calibri"/>
        <family val="2"/>
      </rPr>
      <t>单页平均（</t>
    </r>
    <r>
      <rPr>
        <sz val="11"/>
        <rFont val="Times New Roman"/>
        <family val="1"/>
      </rPr>
      <t>s/</t>
    </r>
    <r>
      <rPr>
        <sz val="11"/>
        <rFont val="Calibri"/>
        <family val="2"/>
      </rPr>
      <t>页）</t>
    </r>
  </si>
  <si>
    <r>
      <rPr>
        <sz val="11"/>
        <rFont val="Calibri"/>
        <family val="2"/>
      </rPr>
      <t>耗时解释</t>
    </r>
  </si>
  <si>
    <r>
      <rPr>
        <b/>
        <sz val="11"/>
        <rFont val="Calibri"/>
        <family val="2"/>
      </rPr>
      <t>常规</t>
    </r>
    <r>
      <rPr>
        <sz val="11"/>
        <rFont val="Calibri"/>
        <family val="2"/>
      </rPr>
      <t>合计</t>
    </r>
    <r>
      <rPr>
        <sz val="11"/>
        <rFont val="Times New Roman"/>
        <family val="1"/>
      </rPr>
      <t xml:space="preserve"> 2180.201s,</t>
    </r>
    <r>
      <rPr>
        <sz val="11"/>
        <rFont val="Calibri"/>
        <family val="2"/>
      </rPr>
      <t>纯</t>
    </r>
    <r>
      <rPr>
        <sz val="11"/>
        <rFont val="Times New Roman"/>
        <family val="1"/>
      </rPr>
      <t>cpu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 xml:space="preserve">         </t>
    </r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专项</t>
    </r>
    <r>
      <rPr>
        <sz val="11"/>
        <rFont val="Calibri"/>
        <family val="2"/>
      </rPr>
      <t>约</t>
    </r>
    <r>
      <rPr>
        <sz val="11"/>
        <rFont val="Times New Roman"/>
        <family val="1"/>
      </rPr>
      <t>53</t>
    </r>
    <r>
      <rPr>
        <sz val="11"/>
        <rFont val="Calibri"/>
        <family val="2"/>
      </rPr>
      <t>分</t>
    </r>
    <r>
      <rPr>
        <sz val="11"/>
        <rFont val="Times New Roman"/>
        <family val="1"/>
      </rPr>
      <t>24</t>
    </r>
    <r>
      <rPr>
        <sz val="11"/>
        <rFont val="Calibri"/>
        <family val="2"/>
      </rPr>
      <t>秒</t>
    </r>
    <r>
      <rPr>
        <sz val="11"/>
        <rFont val="Times New Roman"/>
        <family val="1"/>
      </rPr>
      <t>,</t>
    </r>
    <r>
      <rPr>
        <sz val="11"/>
        <rFont val="Calibri"/>
        <family val="2"/>
      </rPr>
      <t>纯</t>
    </r>
    <r>
      <rPr>
        <sz val="11"/>
        <rFont val="Times New Roman"/>
        <family val="1"/>
      </rPr>
      <t>cpu</t>
    </r>
  </si>
  <si>
    <r>
      <rPr>
        <sz val="11"/>
        <rFont val="Calibri"/>
        <family val="2"/>
      </rPr>
      <t>常规合计</t>
    </r>
    <r>
      <rPr>
        <sz val="11"/>
        <rFont val="Times New Roman"/>
        <family val="1"/>
      </rPr>
      <t xml:space="preserve"> 17.688s</t>
    </r>
    <r>
      <rPr>
        <sz val="11"/>
        <rFont val="Calibri"/>
        <family val="2"/>
      </rPr>
      <t>；扫描</t>
    </r>
    <r>
      <rPr>
        <sz val="11"/>
        <rFont val="Times New Roman"/>
        <family val="1"/>
      </rPr>
      <t>14/20</t>
    </r>
    <r>
      <rPr>
        <sz val="11"/>
        <rFont val="Calibri"/>
        <family val="2"/>
      </rPr>
      <t>，拍照</t>
    </r>
    <r>
      <rPr>
        <sz val="11"/>
        <rFont val="Times New Roman"/>
        <family val="1"/>
      </rPr>
      <t>0/20</t>
    </r>
    <r>
      <rPr>
        <sz val="11"/>
        <rFont val="Calibri"/>
        <family val="2"/>
      </rPr>
      <t>，无任何图片痕迹</t>
    </r>
  </si>
  <si>
    <r>
      <rPr>
        <sz val="11"/>
        <rFont val="Calibri"/>
        <family val="2"/>
      </rPr>
      <t>常规合计</t>
    </r>
    <r>
      <rPr>
        <sz val="11"/>
        <rFont val="Times New Roman"/>
        <family val="1"/>
      </rPr>
      <t xml:space="preserve"> 253.437s</t>
    </r>
    <r>
      <rPr>
        <sz val="11"/>
        <rFont val="Calibri"/>
        <family val="2"/>
      </rPr>
      <t>；速度快但结构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图片质量有限</t>
    </r>
  </si>
  <si>
    <r>
      <rPr>
        <b/>
        <sz val="11"/>
        <rFont val="Times New Roman"/>
        <family val="1"/>
      </rPr>
      <t>PDF</t>
    </r>
    <r>
      <rPr>
        <b/>
        <sz val="11"/>
        <rFont val="Calibri"/>
        <family val="2"/>
      </rPr>
      <t>专项</t>
    </r>
    <r>
      <rPr>
        <sz val="11"/>
        <rFont val="Times New Roman"/>
        <family val="1"/>
      </rPr>
      <t xml:space="preserve"> 8049.84s(2h14m)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M5 Hybrid Medium</t>
    </r>
    <r>
      <rPr>
        <sz val="11"/>
        <rFont val="Calibri"/>
        <family val="2"/>
      </rPr>
      <t>（如用</t>
    </r>
    <r>
      <rPr>
        <sz val="11"/>
        <rFont val="Times New Roman"/>
        <family val="1"/>
      </rPr>
      <t>high</t>
    </r>
    <r>
      <rPr>
        <sz val="11"/>
        <rFont val="Calibri"/>
        <family val="2"/>
      </rPr>
      <t>时间约</t>
    </r>
    <r>
      <rPr>
        <sz val="11"/>
        <rFont val="Times New Roman"/>
        <family val="1"/>
      </rPr>
      <t>*1.9</t>
    </r>
    <r>
      <rPr>
        <sz val="11"/>
        <rFont val="Calibri"/>
        <family val="2"/>
      </rPr>
      <t>）；硬件与</t>
    </r>
    <r>
      <rPr>
        <sz val="11"/>
        <rFont val="Times New Roman"/>
        <family val="1"/>
      </rPr>
      <t>Docling</t>
    </r>
    <r>
      <rPr>
        <sz val="11"/>
        <rFont val="Calibri"/>
        <family val="2"/>
      </rPr>
      <t>不同</t>
    </r>
  </si>
  <si>
    <r>
      <rPr>
        <b/>
        <sz val="12"/>
        <color rgb="FFFFFFFF"/>
        <rFont val="Calibri"/>
        <family val="2"/>
      </rPr>
      <t>三、人工复核评价与解析中小问题</t>
    </r>
  </si>
  <si>
    <t>三、人工复核评价与解析中小问题</t>
  </si>
  <si>
    <r>
      <rPr>
        <b/>
        <sz val="11"/>
        <color rgb="FF17365D"/>
        <rFont val="Calibri"/>
        <family val="2"/>
      </rPr>
      <t>质量维度</t>
    </r>
  </si>
  <si>
    <r>
      <rPr>
        <sz val="11"/>
        <rFont val="Calibri"/>
        <family val="2"/>
      </rPr>
      <t>总体质量评价：</t>
    </r>
  </si>
  <si>
    <r>
      <rPr>
        <sz val="11"/>
        <rFont val="Calibri"/>
        <family val="2"/>
      </rPr>
      <t>☆☆☆☆（复杂公式多栏略差）</t>
    </r>
  </si>
  <si>
    <r>
      <rPr>
        <sz val="11"/>
        <rFont val="Calibri"/>
        <family val="2"/>
      </rPr>
      <t>☆☆☆（图片硬伤）</t>
    </r>
  </si>
  <si>
    <r>
      <rPr>
        <sz val="11"/>
        <rFont val="Calibri"/>
        <family val="2"/>
      </rPr>
      <t>☆☆☆（版面较差）</t>
    </r>
  </si>
  <si>
    <r>
      <rPr>
        <sz val="11"/>
        <rFont val="Calibri"/>
        <family val="2"/>
      </rPr>
      <t>☆☆☆☆☆（总体最好）</t>
    </r>
  </si>
  <si>
    <r>
      <rPr>
        <sz val="11"/>
        <rFont val="Calibri"/>
        <family val="2"/>
      </rPr>
      <t>常规文字型（</t>
    </r>
    <r>
      <rPr>
        <sz val="11"/>
        <rFont val="Times New Roman"/>
        <family val="1"/>
      </rPr>
      <t>DOCX/PPTX/</t>
    </r>
    <r>
      <rPr>
        <sz val="11"/>
        <rFont val="Calibri"/>
        <family val="2"/>
      </rPr>
      <t>文字型</t>
    </r>
    <r>
      <rPr>
        <sz val="11"/>
        <rFont val="Times New Roman"/>
        <family val="1"/>
      </rPr>
      <t>PDF</t>
    </r>
    <r>
      <rPr>
        <sz val="11"/>
        <rFont val="Calibri"/>
        <family val="2"/>
      </rPr>
      <t>）</t>
    </r>
  </si>
  <si>
    <r>
      <rPr>
        <sz val="11"/>
        <rFont val="Calibri"/>
        <family val="2"/>
      </rPr>
      <t>文字提取完整、结构化输出强；复杂表格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公式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阅读顺序仍需抽查</t>
    </r>
  </si>
  <si>
    <r>
      <rPr>
        <sz val="11"/>
        <rFont val="Times New Roman"/>
        <family val="1"/>
      </rPr>
      <t xml:space="preserve">Office </t>
    </r>
    <r>
      <rPr>
        <sz val="11"/>
        <rFont val="Calibri"/>
        <family val="2"/>
      </rPr>
      <t>转换稳定、速度最快；复杂布局仍需抽查。⚠️无图片</t>
    </r>
  </si>
  <si>
    <r>
      <rPr>
        <sz val="11"/>
        <rFont val="Calibri"/>
        <family val="2"/>
      </rPr>
      <t>可转换，⚠️但版面奇怪，整体观感甚至不如</t>
    </r>
    <r>
      <rPr>
        <sz val="11"/>
        <rFont val="Times New Roman"/>
        <family val="1"/>
      </rPr>
      <t xml:space="preserve"> AnyDoc</t>
    </r>
  </si>
  <si>
    <r>
      <rPr>
        <sz val="11"/>
        <rFont val="Calibri"/>
        <family val="2"/>
      </rPr>
      <t>本批未做常规三类耗时复核；重点价值在</t>
    </r>
    <r>
      <rPr>
        <sz val="11"/>
        <rFont val="Times New Roman"/>
        <family val="1"/>
      </rPr>
      <t xml:space="preserve"> PDF/</t>
    </r>
    <r>
      <rPr>
        <sz val="11"/>
        <rFont val="Calibri"/>
        <family val="2"/>
      </rPr>
      <t>图片复杂版面</t>
    </r>
  </si>
  <si>
    <r>
      <rPr>
        <sz val="11"/>
        <rFont val="Calibri"/>
        <family val="2"/>
      </rPr>
      <t>扫描型</t>
    </r>
  </si>
  <si>
    <r>
      <rPr>
        <sz val="11"/>
        <rFont val="Calibri"/>
        <family val="2"/>
      </rPr>
      <t>可生成结果，但</t>
    </r>
    <r>
      <rPr>
        <sz val="11"/>
        <rFont val="Times New Roman"/>
        <family val="1"/>
      </rPr>
      <t xml:space="preserve"> OCR </t>
    </r>
    <r>
      <rPr>
        <sz val="11"/>
        <rFont val="Calibri"/>
        <family val="2"/>
      </rPr>
      <t>可能漏字、错字、断行；常规正文通常较完整</t>
    </r>
  </si>
  <si>
    <r>
      <t>❌不适合作为</t>
    </r>
    <r>
      <rPr>
        <sz val="11"/>
        <rFont val="Times New Roman"/>
        <family val="1"/>
      </rPr>
      <t xml:space="preserve"> OCR </t>
    </r>
    <r>
      <rPr>
        <sz val="11"/>
        <rFont val="宋体"/>
        <family val="3"/>
        <charset val="134"/>
      </rPr>
      <t>主引擎；扫描</t>
    </r>
    <r>
      <rPr>
        <sz val="11"/>
        <rFont val="Times New Roman"/>
        <family val="1"/>
      </rPr>
      <t xml:space="preserve"> PDF </t>
    </r>
    <r>
      <rPr>
        <sz val="11"/>
        <rFont val="宋体"/>
        <family val="3"/>
        <charset val="134"/>
      </rPr>
      <t>需外置</t>
    </r>
    <r>
      <rPr>
        <sz val="11"/>
        <rFont val="Times New Roman"/>
        <family val="1"/>
      </rPr>
      <t xml:space="preserve"> OCR/</t>
    </r>
    <r>
      <rPr>
        <sz val="11"/>
        <rFont val="宋体"/>
        <family val="3"/>
        <charset val="134"/>
      </rPr>
      <t>转交其他引擎</t>
    </r>
  </si>
  <si>
    <t>❌扫描型特别差，基本上用不了</t>
  </si>
  <si>
    <r>
      <rPr>
        <sz val="11"/>
        <rFont val="Calibri"/>
        <family val="2"/>
      </rPr>
      <t>复杂扫描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多栏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符号和图片保留更强；</t>
    </r>
    <r>
      <rPr>
        <sz val="11"/>
        <rFont val="Times New Roman"/>
        <family val="1"/>
      </rPr>
      <t xml:space="preserve">Medium/High </t>
    </r>
    <r>
      <rPr>
        <sz val="11"/>
        <rFont val="Calibri"/>
        <family val="2"/>
      </rPr>
      <t>需按场景选</t>
    </r>
  </si>
  <si>
    <r>
      <rPr>
        <sz val="11"/>
        <rFont val="Calibri"/>
        <family val="2"/>
      </rPr>
      <t>拍照型</t>
    </r>
  </si>
  <si>
    <r>
      <rPr>
        <sz val="11"/>
        <rFont val="Calibri"/>
        <family val="2"/>
      </rPr>
      <t>技术上可生成</t>
    </r>
    <r>
      <rPr>
        <sz val="11"/>
        <rFont val="Times New Roman"/>
        <family val="1"/>
      </rPr>
      <t xml:space="preserve"> Markdown</t>
    </r>
    <r>
      <rPr>
        <sz val="11"/>
        <rFont val="Calibri"/>
        <family val="2"/>
      </rPr>
      <t>，但清晰度不足时质量明显下降</t>
    </r>
  </si>
  <si>
    <r>
      <rPr>
        <sz val="11"/>
        <rFont val="Calibri"/>
        <family val="2"/>
      </rPr>
      <t>本批次拍照</t>
    </r>
    <r>
      <rPr>
        <sz val="11"/>
        <rFont val="Times New Roman"/>
        <family val="1"/>
      </rPr>
      <t xml:space="preserve"> PDF 0/20</t>
    </r>
    <r>
      <rPr>
        <sz val="11"/>
        <rFont val="Calibri"/>
        <family val="2"/>
      </rPr>
      <t>；❌不适合作为独立</t>
    </r>
    <r>
      <rPr>
        <sz val="11"/>
        <rFont val="Times New Roman"/>
        <family val="1"/>
      </rPr>
      <t xml:space="preserve"> OCR </t>
    </r>
    <r>
      <rPr>
        <sz val="11"/>
        <rFont val="Calibri"/>
        <family val="2"/>
      </rPr>
      <t>路径</t>
    </r>
  </si>
  <si>
    <r>
      <rPr>
        <sz val="11"/>
        <rFont val="Calibri"/>
        <family val="2"/>
      </rPr>
      <t>无法解析拍照型</t>
    </r>
    <r>
      <rPr>
        <sz val="11"/>
        <rFont val="Times New Roman"/>
        <family val="1"/>
      </rPr>
      <t xml:space="preserve"> PDF</t>
    </r>
    <r>
      <rPr>
        <sz val="11"/>
        <rFont val="Calibri"/>
        <family val="2"/>
      </rPr>
      <t>；❌当前离线</t>
    </r>
    <r>
      <rPr>
        <sz val="11"/>
        <rFont val="Times New Roman"/>
        <family val="1"/>
      </rPr>
      <t xml:space="preserve"> CLI </t>
    </r>
    <r>
      <rPr>
        <sz val="11"/>
        <rFont val="Calibri"/>
        <family val="2"/>
      </rPr>
      <t>不适合图片</t>
    </r>
    <r>
      <rPr>
        <sz val="11"/>
        <rFont val="Times New Roman"/>
        <family val="1"/>
      </rPr>
      <t xml:space="preserve"> OCR</t>
    </r>
  </si>
  <si>
    <r>
      <rPr>
        <sz val="11"/>
        <rFont val="Calibri"/>
        <family val="2"/>
      </rPr>
      <t>受支持图片</t>
    </r>
    <r>
      <rPr>
        <sz val="11"/>
        <rFont val="Times New Roman"/>
        <family val="1"/>
      </rPr>
      <t xml:space="preserve"> 40/50</t>
    </r>
    <r>
      <rPr>
        <sz val="11"/>
        <rFont val="Calibri"/>
        <family val="2"/>
      </rPr>
      <t>；质量优先，但</t>
    </r>
    <r>
      <rPr>
        <sz val="11"/>
        <rFont val="Times New Roman"/>
        <family val="1"/>
      </rPr>
      <t xml:space="preserve"> TIFF </t>
    </r>
    <r>
      <rPr>
        <sz val="11"/>
        <rFont val="Calibri"/>
        <family val="2"/>
      </rPr>
      <t>需先转</t>
    </r>
    <r>
      <rPr>
        <sz val="11"/>
        <rFont val="Times New Roman"/>
        <family val="1"/>
      </rPr>
      <t xml:space="preserve"> PNG/JPG</t>
    </r>
  </si>
  <si>
    <r>
      <rPr>
        <sz val="11"/>
        <rFont val="Calibri"/>
        <family val="2"/>
      </rPr>
      <t>其他小问题</t>
    </r>
  </si>
  <si>
    <r>
      <rPr>
        <sz val="11"/>
        <rFont val="Calibri"/>
        <family val="2"/>
      </rPr>
      <t>旧版</t>
    </r>
    <r>
      <rPr>
        <sz val="11"/>
        <rFont val="Times New Roman"/>
        <family val="1"/>
      </rPr>
      <t xml:space="preserve"> DOC/PPT/XLS </t>
    </r>
    <r>
      <rPr>
        <sz val="11"/>
        <rFont val="Calibri"/>
        <family val="2"/>
      </rPr>
      <t>需</t>
    </r>
    <r>
      <rPr>
        <sz val="11"/>
        <rFont val="Times New Roman"/>
        <family val="1"/>
      </rPr>
      <t xml:space="preserve"> LibreOffice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 xml:space="preserve">TXT </t>
    </r>
    <r>
      <rPr>
        <sz val="11"/>
        <rFont val="Calibri"/>
        <family val="2"/>
      </rPr>
      <t>的</t>
    </r>
    <r>
      <rPr>
        <sz val="11"/>
        <rFont val="Times New Roman"/>
        <family val="1"/>
      </rPr>
      <t xml:space="preserve"> GBK/ANSI </t>
    </r>
    <r>
      <rPr>
        <sz val="11"/>
        <rFont val="Calibri"/>
        <family val="2"/>
      </rPr>
      <t>需转</t>
    </r>
    <r>
      <rPr>
        <sz val="11"/>
        <rFont val="Times New Roman"/>
        <family val="1"/>
      </rPr>
      <t xml:space="preserve"> UTF-8</t>
    </r>
  </si>
  <si>
    <r>
      <rPr>
        <sz val="11"/>
        <rFont val="Calibri"/>
        <family val="2"/>
      </rPr>
      <t>⚠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所有解析都不支持保留图片！</t>
    </r>
    <r>
      <rPr>
        <sz val="11"/>
        <rFont val="Times New Roman"/>
        <family val="1"/>
      </rPr>
      <t xml:space="preserve">HTML/MD/TXT/AsciiDoc/EML </t>
    </r>
    <r>
      <rPr>
        <sz val="11"/>
        <rFont val="Calibri"/>
        <family val="2"/>
      </rPr>
      <t>不支持；无模型、无原生</t>
    </r>
    <r>
      <rPr>
        <sz val="11"/>
        <rFont val="Times New Roman"/>
        <family val="1"/>
      </rPr>
      <t xml:space="preserve"> OCR</t>
    </r>
  </si>
  <si>
    <r>
      <rPr>
        <sz val="11"/>
        <rFont val="Calibri"/>
        <family val="2"/>
      </rPr>
      <t>旧版</t>
    </r>
    <r>
      <rPr>
        <sz val="11"/>
        <rFont val="Times New Roman"/>
        <family val="1"/>
      </rPr>
      <t xml:space="preserve"> DOC/PPT </t>
    </r>
    <r>
      <rPr>
        <sz val="11"/>
        <rFont val="Calibri"/>
        <family val="2"/>
      </rPr>
      <t>不支持；</t>
    </r>
    <r>
      <rPr>
        <sz val="11"/>
        <rFont val="Times New Roman"/>
        <family val="1"/>
      </rPr>
      <t xml:space="preserve">EML </t>
    </r>
    <r>
      <rPr>
        <sz val="11"/>
        <rFont val="Calibri"/>
        <family val="2"/>
      </rPr>
      <t>保留</t>
    </r>
    <r>
      <rPr>
        <sz val="11"/>
        <rFont val="Times New Roman"/>
        <family val="1"/>
      </rPr>
      <t xml:space="preserve"> MIME/Base64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 xml:space="preserve">AsciiDoc </t>
    </r>
    <r>
      <rPr>
        <sz val="11"/>
        <rFont val="Calibri"/>
        <family val="2"/>
      </rPr>
      <t>多为原文透传</t>
    </r>
  </si>
  <si>
    <r>
      <rPr>
        <sz val="11"/>
        <rFont val="Calibri"/>
        <family val="2"/>
      </rPr>
      <t>本次</t>
    </r>
    <r>
      <rPr>
        <sz val="11"/>
        <rFont val="Times New Roman"/>
        <family val="1"/>
      </rPr>
      <t xml:space="preserve"> Python 3.14 </t>
    </r>
    <r>
      <rPr>
        <sz val="11"/>
        <rFont val="Calibri"/>
        <family val="2"/>
      </rPr>
      <t>超出官方建议范围；部署重；</t>
    </r>
    <r>
      <rPr>
        <sz val="11"/>
        <rFont val="Times New Roman"/>
        <family val="1"/>
      </rPr>
      <t xml:space="preserve">Medium/High </t>
    </r>
    <r>
      <rPr>
        <sz val="11"/>
        <rFont val="Calibri"/>
        <family val="2"/>
      </rPr>
      <t>时间和质量需要取舍</t>
    </r>
  </si>
  <si>
    <r>
      <rPr>
        <sz val="11"/>
        <rFont val="Calibri"/>
        <family val="2"/>
      </rPr>
      <t>推荐定位</t>
    </r>
  </si>
  <si>
    <r>
      <rPr>
        <sz val="11"/>
        <rFont val="Calibri"/>
        <family val="2"/>
      </rPr>
      <t>通用主解析器；本地离线、结构化</t>
    </r>
    <r>
      <rPr>
        <sz val="11"/>
        <rFont val="Times New Roman"/>
        <family val="1"/>
      </rPr>
      <t xml:space="preserve"> JSON/</t>
    </r>
    <r>
      <rPr>
        <sz val="11"/>
        <rFont val="Calibri"/>
        <family val="2"/>
      </rPr>
      <t>页面结构适合知识库</t>
    </r>
  </si>
  <si>
    <r>
      <rPr>
        <sz val="11"/>
        <rFont val="Times New Roman"/>
        <family val="1"/>
      </rPr>
      <t>Office/</t>
    </r>
    <r>
      <rPr>
        <sz val="11"/>
        <rFont val="Calibri"/>
        <family val="2"/>
      </rPr>
      <t>旧版</t>
    </r>
    <r>
      <rPr>
        <sz val="11"/>
        <rFont val="Times New Roman"/>
        <family val="1"/>
      </rPr>
      <t xml:space="preserve"> Office </t>
    </r>
    <r>
      <rPr>
        <sz val="11"/>
        <rFont val="Calibri"/>
        <family val="2"/>
      </rPr>
      <t>高吞吐快速通道</t>
    </r>
  </si>
  <si>
    <r>
      <rPr>
        <sz val="11"/>
        <rFont val="Calibri"/>
        <family val="2"/>
      </rPr>
      <t>个人端和</t>
    </r>
    <r>
      <rPr>
        <sz val="11"/>
        <rFont val="Times New Roman"/>
        <family val="1"/>
      </rPr>
      <t xml:space="preserve"> ZIP/JSON/XML/IPYNB/</t>
    </r>
    <r>
      <rPr>
        <sz val="11"/>
        <rFont val="Calibri"/>
        <family val="2"/>
      </rPr>
      <t>音视频等长尾格式补充</t>
    </r>
  </si>
  <si>
    <r>
      <rPr>
        <sz val="11"/>
        <rFont val="Calibri"/>
        <family val="2"/>
      </rPr>
      <t>集中式</t>
    </r>
    <r>
      <rPr>
        <sz val="11"/>
        <rFont val="Times New Roman"/>
        <family val="1"/>
      </rPr>
      <t xml:space="preserve"> PDF/</t>
    </r>
    <r>
      <rPr>
        <sz val="11"/>
        <rFont val="Calibri"/>
        <family val="2"/>
      </rPr>
      <t>图片结构增强；复杂表格、公式、多栏优先</t>
    </r>
  </si>
  <si>
    <r>
      <rPr>
        <b/>
        <sz val="12"/>
        <color rgb="FFFFFFFF"/>
        <rFont val="Calibri"/>
        <family val="2"/>
      </rPr>
      <t>四、其他格式能力补充（简明矩阵）</t>
    </r>
  </si>
  <si>
    <t>四、其他格式能力补充（简明矩阵）</t>
  </si>
  <si>
    <r>
      <rPr>
        <b/>
        <sz val="11"/>
        <color rgb="FF17365D"/>
        <rFont val="Calibri"/>
        <family val="2"/>
      </rPr>
      <t>格式</t>
    </r>
    <r>
      <rPr>
        <b/>
        <sz val="11"/>
        <color rgb="FF17365D"/>
        <rFont val="Times New Roman"/>
        <family val="1"/>
      </rPr>
      <t xml:space="preserve"> / </t>
    </r>
    <r>
      <rPr>
        <b/>
        <sz val="11"/>
        <color rgb="FF17365D"/>
        <rFont val="Calibri"/>
        <family val="2"/>
      </rPr>
      <t>能力</t>
    </r>
  </si>
  <si>
    <t>XLSX</t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</si>
  <si>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31/31</t>
    </r>
    <r>
      <rPr>
        <sz val="11"/>
        <rFont val="Calibri"/>
        <family val="2"/>
      </rPr>
      <t>实测</t>
    </r>
  </si>
  <si>
    <r>
      <t>✅</t>
    </r>
    <r>
      <rPr>
        <sz val="11"/>
        <rFont val="Times New Roman"/>
        <family val="1"/>
      </rPr>
      <t xml:space="preserve"> 31/31</t>
    </r>
    <r>
      <rPr>
        <sz val="11"/>
        <rFont val="宋体"/>
        <family val="3"/>
        <charset val="134"/>
      </rPr>
      <t>实测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</si>
  <si>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官方支持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本批未测</t>
    </r>
  </si>
  <si>
    <r>
      <rPr>
        <sz val="11"/>
        <rFont val="Times New Roman"/>
        <family val="1"/>
      </rPr>
      <t>XLS</t>
    </r>
    <r>
      <rPr>
        <sz val="11"/>
        <rFont val="Calibri"/>
        <family val="2"/>
      </rPr>
      <t>（旧版）</t>
    </r>
  </si>
  <si>
    <r>
      <t>⚠</t>
    </r>
    <r>
      <rPr>
        <sz val="11"/>
        <rFont val="Calibri"/>
        <family val="2"/>
      </rPr>
      <t>️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需</t>
    </r>
    <r>
      <rPr>
        <sz val="11"/>
        <rFont val="Times New Roman"/>
        <family val="1"/>
      </rPr>
      <t>LibreOffice</t>
    </r>
    <r>
      <rPr>
        <sz val="11"/>
        <rFont val="宋体"/>
        <family val="3"/>
        <charset val="134"/>
      </rPr>
      <t>预转换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</si>
  <si>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10/10</t>
    </r>
    <r>
      <rPr>
        <sz val="11"/>
        <rFont val="Calibri"/>
        <family val="2"/>
      </rPr>
      <t>实测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</si>
  <si>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建议先转</t>
    </r>
    <r>
      <rPr>
        <sz val="11"/>
        <rFont val="Times New Roman"/>
        <family val="1"/>
      </rPr>
      <t>PDF/XLSX</t>
    </r>
  </si>
  <si>
    <r>
      <rPr>
        <sz val="11"/>
        <rFont val="Times New Roman"/>
        <family val="1"/>
      </rPr>
      <t>DOC / PPT</t>
    </r>
    <r>
      <rPr>
        <sz val="11"/>
        <rFont val="Calibri"/>
        <family val="2"/>
      </rPr>
      <t>（旧版）</t>
    </r>
  </si>
  <si>
    <r>
      <t>⚠</t>
    </r>
    <r>
      <rPr>
        <sz val="11"/>
        <rFont val="Calibri"/>
        <family val="2"/>
      </rPr>
      <t>️</t>
    </r>
    <r>
      <rPr>
        <sz val="11"/>
        <rFont val="Times New Roman"/>
        <family val="1"/>
      </rPr>
      <t xml:space="preserve"> 0/20</t>
    </r>
    <r>
      <rPr>
        <sz val="11"/>
        <rFont val="宋体"/>
        <family val="3"/>
        <charset val="134"/>
      </rPr>
      <t>；需</t>
    </r>
    <r>
      <rPr>
        <sz val="11"/>
        <rFont val="Times New Roman"/>
        <family val="1"/>
      </rPr>
      <t>LibreOffice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</si>
  <si>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20/20</t>
    </r>
    <r>
      <rPr>
        <sz val="11"/>
        <rFont val="Calibri"/>
        <family val="2"/>
      </rPr>
      <t>实测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</si>
  <si>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0/20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</si>
  <si>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建议先转换</t>
    </r>
  </si>
  <si>
    <r>
      <rPr>
        <sz val="11"/>
        <rFont val="Calibri"/>
        <family val="2"/>
      </rPr>
      <t>图片：</t>
    </r>
    <r>
      <rPr>
        <sz val="11"/>
        <rFont val="Times New Roman"/>
        <family val="1"/>
      </rPr>
      <t>BMP/JPG/PNG/WEBP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</si>
  <si>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50/50</t>
    </r>
    <r>
      <rPr>
        <sz val="11"/>
        <rFont val="Calibri"/>
        <family val="2"/>
      </rPr>
      <t>实测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</si>
  <si>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0/50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</si>
  <si>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0/50</t>
    </r>
    <r>
      <rPr>
        <sz val="11"/>
        <rFont val="Calibri"/>
        <family val="2"/>
      </rPr>
      <t>；空文件或不支持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</si>
  <si>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40/40</t>
    </r>
    <r>
      <rPr>
        <sz val="11"/>
        <rFont val="Calibri"/>
        <family val="2"/>
      </rPr>
      <t>受支持格式</t>
    </r>
  </si>
  <si>
    <r>
      <rPr>
        <sz val="11"/>
        <rFont val="Calibri"/>
        <family val="2"/>
      </rPr>
      <t>图片：</t>
    </r>
    <r>
      <rPr>
        <sz val="11"/>
        <rFont val="Times New Roman"/>
        <family val="1"/>
      </rPr>
      <t>TIFF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</si>
  <si>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实测可处理</t>
    </r>
  </si>
  <si>
    <r>
      <rPr>
        <sz val="11"/>
        <rFont val="Calibri"/>
        <family val="2"/>
      </rPr>
      <t>❌</t>
    </r>
  </si>
  <si>
    <r>
      <rPr>
        <sz val="11"/>
        <rFont val="Calibri"/>
        <family val="2"/>
      </rPr>
      <t>⚠️</t>
    </r>
    <r>
      <rPr>
        <sz val="11"/>
        <rFont val="Times New Roman"/>
        <family val="1"/>
      </rPr>
      <t xml:space="preserve"> 10</t>
    </r>
    <r>
      <rPr>
        <sz val="11"/>
        <rFont val="Calibri"/>
        <family val="2"/>
      </rPr>
      <t>张不支持；先转</t>
    </r>
    <r>
      <rPr>
        <sz val="11"/>
        <rFont val="Times New Roman"/>
        <family val="1"/>
      </rPr>
      <t>PNG/JPG</t>
    </r>
  </si>
  <si>
    <t>HTML</t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</si>
  <si>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25/25</t>
    </r>
    <r>
      <rPr>
        <sz val="11"/>
        <rFont val="Calibri"/>
        <family val="2"/>
      </rPr>
      <t>实测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</si>
  <si>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0/25</t>
    </r>
    <r>
      <rPr>
        <sz val="11"/>
        <rFont val="Calibri"/>
        <family val="2"/>
      </rPr>
      <t>；不支持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</si>
  <si>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建议先转</t>
    </r>
    <r>
      <rPr>
        <sz val="11"/>
        <rFont val="Times New Roman"/>
        <family val="1"/>
      </rPr>
      <t>PDF</t>
    </r>
  </si>
  <si>
    <t>Markdown / TXT</t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</si>
  <si>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MD 10/10</t>
    </r>
    <r>
      <rPr>
        <sz val="11"/>
        <rFont val="Calibri"/>
        <family val="2"/>
      </rPr>
      <t>；⚠️</t>
    </r>
    <r>
      <rPr>
        <sz val="11"/>
        <rFont val="Times New Roman"/>
        <family val="1"/>
      </rPr>
      <t xml:space="preserve"> TXT 13/15</t>
    </r>
    <r>
      <rPr>
        <sz val="11"/>
        <rFont val="Calibri"/>
        <family val="2"/>
      </rPr>
      <t>（注意编码问题）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</si>
  <si>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0/25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</si>
  <si>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MD 10/10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TXT 15/15</t>
    </r>
  </si>
  <si>
    <t>CSV</t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</si>
  <si>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3/3</t>
    </r>
    <r>
      <rPr>
        <sz val="11"/>
        <rFont val="Calibri"/>
        <family val="2"/>
      </rPr>
      <t>实测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</si>
  <si>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非主要路径</t>
    </r>
  </si>
  <si>
    <t>AsciiDoc</t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</si>
  <si>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0/10</t>
    </r>
  </si>
  <si>
    <r>
      <rPr>
        <sz val="11"/>
        <rFont val="Calibri"/>
        <family val="2"/>
      </rPr>
      <t>⚠️</t>
    </r>
    <r>
      <rPr>
        <sz val="11"/>
        <rFont val="Times New Roman"/>
        <family val="1"/>
      </rPr>
      <t xml:space="preserve"> 9/10</t>
    </r>
    <r>
      <rPr>
        <sz val="11"/>
        <rFont val="Calibri"/>
        <family val="2"/>
      </rPr>
      <t>；多为普通文本透传</t>
    </r>
  </si>
  <si>
    <r>
      <rPr>
        <sz val="11"/>
        <rFont val="Times New Roman"/>
        <family val="1"/>
      </rPr>
      <t xml:space="preserve">EML / </t>
    </r>
    <r>
      <rPr>
        <sz val="11"/>
        <rFont val="Calibri"/>
        <family val="2"/>
      </rPr>
      <t>邮件</t>
    </r>
  </si>
  <si>
    <r>
      <rPr>
        <sz val="11"/>
        <rFont val="Calibri"/>
        <family val="2"/>
      </rPr>
      <t>⚠️</t>
    </r>
    <r>
      <rPr>
        <sz val="11"/>
        <rFont val="Times New Roman"/>
        <family val="1"/>
      </rPr>
      <t xml:space="preserve"> 10/10</t>
    </r>
    <r>
      <rPr>
        <sz val="11"/>
        <rFont val="Calibri"/>
        <family val="2"/>
      </rPr>
      <t>；</t>
    </r>
    <r>
      <rPr>
        <sz val="11"/>
        <rFont val="Times New Roman"/>
        <family val="1"/>
      </rPr>
      <t>MIME/Base64</t>
    </r>
    <r>
      <rPr>
        <sz val="11"/>
        <rFont val="Calibri"/>
        <family val="2"/>
      </rPr>
      <t>未结构化</t>
    </r>
  </si>
  <si>
    <t>EPUB</t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</si>
  <si>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10/10</t>
    </r>
    <r>
      <rPr>
        <sz val="11"/>
        <rFont val="Calibri"/>
        <family val="2"/>
      </rPr>
      <t>补充实测</t>
    </r>
  </si>
  <si>
    <r>
      <rPr>
        <sz val="11"/>
        <rFont val="Calibri"/>
        <family val="2"/>
      </rPr>
      <t>⚠️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官方能力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本批未测</t>
    </r>
  </si>
  <si>
    <r>
      <rPr>
        <sz val="11"/>
        <rFont val="Calibri"/>
        <family val="2"/>
      </rPr>
      <t>✅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官方插件能力</t>
    </r>
    <r>
      <rPr>
        <sz val="11"/>
        <rFont val="Times New Roman"/>
        <family val="1"/>
      </rPr>
      <t>/</t>
    </r>
    <r>
      <rPr>
        <sz val="11"/>
        <rFont val="Calibri"/>
        <family val="2"/>
      </rPr>
      <t>本批未测</t>
    </r>
  </si>
  <si>
    <r>
      <rPr>
        <b/>
        <sz val="12"/>
        <color rgb="FFFFFFFF"/>
        <rFont val="Calibri"/>
        <family val="2"/>
      </rPr>
      <t>五、文档中的图片相关处理</t>
    </r>
  </si>
  <si>
    <t>五、图片保留与“图片本身是表格”处理</t>
  </si>
  <si>
    <r>
      <rPr>
        <b/>
        <sz val="11"/>
        <color rgb="FF17365D"/>
        <rFont val="Calibri"/>
        <family val="2"/>
      </rPr>
      <t>图片相关能力</t>
    </r>
  </si>
  <si>
    <r>
      <rPr>
        <sz val="11"/>
        <rFont val="Calibri"/>
        <family val="2"/>
      </rPr>
      <t>图片保留方式</t>
    </r>
  </si>
  <si>
    <r>
      <rPr>
        <sz val="11"/>
        <rFont val="Calibri"/>
        <family val="2"/>
      </rPr>
      <t>✅可命令参数选择：占位符</t>
    </r>
    <r>
      <rPr>
        <sz val="11"/>
        <rFont val="Times New Roman"/>
        <family val="1"/>
      </rPr>
      <t>\Base64\</t>
    </r>
    <r>
      <rPr>
        <sz val="11"/>
        <rFont val="Calibri"/>
        <family val="2"/>
      </rPr>
      <t>引用文件夹（</t>
    </r>
    <r>
      <rPr>
        <sz val="11"/>
        <rFont val="Times New Roman"/>
        <family val="1"/>
      </rPr>
      <t>python api</t>
    </r>
    <r>
      <rPr>
        <sz val="11"/>
        <rFont val="Calibri"/>
        <family val="2"/>
      </rPr>
      <t>参数可自定义文件夹位置）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</si>
  <si>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原生不保留；实在需要只能单独写脚本提取</t>
    </r>
  </si>
  <si>
    <r>
      <rPr>
        <sz val="11"/>
        <rFont val="Calibri"/>
        <family val="2"/>
      </rPr>
      <t>可用：占位符</t>
    </r>
    <r>
      <rPr>
        <sz val="11"/>
        <rFont val="Times New Roman"/>
        <family val="1"/>
      </rPr>
      <t xml:space="preserve">/ Base64 </t>
    </r>
    <r>
      <rPr>
        <sz val="11"/>
        <rFont val="Calibri"/>
        <family val="2"/>
      </rPr>
      <t>⚠️（</t>
    </r>
    <r>
      <rPr>
        <sz val="11"/>
        <rFont val="Times New Roman"/>
        <family val="1"/>
      </rPr>
      <t>base64</t>
    </r>
    <r>
      <rPr>
        <sz val="11"/>
        <rFont val="Calibri"/>
        <family val="2"/>
      </rPr>
      <t>可以额外写个脚本转换处理保存到指定文件夹下）</t>
    </r>
  </si>
  <si>
    <r>
      <rPr>
        <sz val="11"/>
        <rFont val="Calibri"/>
        <family val="2"/>
      </rPr>
      <t>✅自带</t>
    </r>
    <r>
      <rPr>
        <sz val="11"/>
        <rFont val="Times New Roman"/>
        <family val="1"/>
      </rPr>
      <t xml:space="preserve"> `_assets` </t>
    </r>
    <r>
      <rPr>
        <sz val="11"/>
        <rFont val="Calibri"/>
        <family val="2"/>
      </rPr>
      <t>引用文件夹；</t>
    </r>
    <r>
      <rPr>
        <sz val="11"/>
        <rFont val="Times New Roman"/>
        <family val="1"/>
      </rPr>
      <t>Docker/</t>
    </r>
    <r>
      <rPr>
        <sz val="11"/>
        <rFont val="Calibri"/>
        <family val="2"/>
      </rPr>
      <t>服务化可按配置输出文件夹、</t>
    </r>
    <r>
      <rPr>
        <sz val="11"/>
        <rFont val="Times New Roman"/>
        <family val="1"/>
      </rPr>
      <t>Base64</t>
    </r>
    <r>
      <rPr>
        <sz val="11"/>
        <rFont val="Calibri"/>
        <family val="2"/>
      </rPr>
      <t>或占位符</t>
    </r>
  </si>
  <si>
    <r>
      <rPr>
        <sz val="11"/>
        <rFont val="Calibri"/>
        <family val="2"/>
      </rPr>
      <t>图片本身是表格</t>
    </r>
  </si>
  <si>
    <r>
      <rPr>
        <sz val="11"/>
        <rFont val="Times New Roman"/>
        <family val="1"/>
      </rPr>
      <t>DOCX</t>
    </r>
    <r>
      <rPr>
        <sz val="11"/>
        <rFont val="Calibri"/>
        <family val="2"/>
      </rPr>
      <t>：只保留原图；</t>
    </r>
    <r>
      <rPr>
        <sz val="11"/>
        <rFont val="Times New Roman"/>
        <family val="1"/>
      </rPr>
      <t xml:space="preserve">                 PDF</t>
    </r>
    <r>
      <rPr>
        <sz val="11"/>
        <rFont val="Calibri"/>
        <family val="2"/>
      </rPr>
      <t>：只进行</t>
    </r>
    <r>
      <rPr>
        <sz val="11"/>
        <rFont val="Times New Roman"/>
        <family val="1"/>
      </rPr>
      <t>.md</t>
    </r>
    <r>
      <rPr>
        <sz val="11"/>
        <rFont val="Calibri"/>
        <family val="2"/>
      </rPr>
      <t>表格解析</t>
    </r>
  </si>
  <si>
    <r>
      <rPr>
        <sz val="11"/>
        <rFont val="Calibri"/>
        <family val="2"/>
      </rPr>
      <t>❌</t>
    </r>
    <r>
      <rPr>
        <sz val="11"/>
        <rFont val="Times New Roman"/>
        <family val="1"/>
      </rPr>
      <t xml:space="preserve"> </t>
    </r>
  </si>
  <si>
    <r>
      <rPr>
        <sz val="11"/>
        <rFont val="Calibri"/>
        <family val="2"/>
      </rPr>
      <t>同时保存原图和解析表格</t>
    </r>
  </si>
  <si>
    <r>
      <rPr>
        <sz val="11"/>
        <rFont val="Calibri"/>
        <family val="2"/>
      </rPr>
      <t>图片资产使用建议</t>
    </r>
  </si>
  <si>
    <r>
      <rPr>
        <sz val="11"/>
        <rFont val="Calibri"/>
        <family val="2"/>
      </rPr>
      <t>知识库入库时同时参数选择保留原始</t>
    </r>
    <r>
      <rPr>
        <sz val="11"/>
        <rFont val="Times New Roman"/>
        <family val="1"/>
      </rPr>
      <t xml:space="preserve"> PDF/JSON </t>
    </r>
    <r>
      <rPr>
        <sz val="11"/>
        <rFont val="Calibri"/>
        <family val="2"/>
      </rPr>
      <t>与页码定位；</t>
    </r>
    <r>
      <rPr>
        <sz val="11"/>
        <rFont val="Times New Roman"/>
        <family val="1"/>
      </rPr>
      <t xml:space="preserve">Markdown </t>
    </r>
    <r>
      <rPr>
        <sz val="11"/>
        <rFont val="Calibri"/>
        <family val="2"/>
      </rPr>
      <t>仅做展示副本</t>
    </r>
  </si>
  <si>
    <r>
      <rPr>
        <sz val="11"/>
        <rFont val="Calibri"/>
        <family val="2"/>
      </rPr>
      <t>定位为</t>
    </r>
    <r>
      <rPr>
        <sz val="11"/>
        <rFont val="Times New Roman"/>
        <family val="1"/>
      </rPr>
      <t xml:space="preserve"> Office </t>
    </r>
    <r>
      <rPr>
        <sz val="11"/>
        <rFont val="Calibri"/>
        <family val="2"/>
      </rPr>
      <t>文字类快速转换，不承担图片资产管理。</t>
    </r>
  </si>
  <si>
    <r>
      <rPr>
        <sz val="11"/>
        <rFont val="Calibri"/>
        <family val="2"/>
      </rPr>
      <t>定位为轻量转换补充；版面需单独核对；图片需转换。</t>
    </r>
  </si>
  <si>
    <r>
      <rPr>
        <sz val="11"/>
        <rFont val="Calibri"/>
        <family val="2"/>
      </rPr>
      <t>复杂图文档案优先；保留</t>
    </r>
    <r>
      <rPr>
        <sz val="11"/>
        <rFont val="Times New Roman"/>
        <family val="1"/>
      </rPr>
      <t xml:space="preserve"> `_assets` </t>
    </r>
    <r>
      <rPr>
        <sz val="11"/>
        <rFont val="Calibri"/>
        <family val="2"/>
      </rPr>
      <t>与结构化结果</t>
    </r>
  </si>
  <si>
    <t>口径与来源（用于讲解时追溯，不作为主展示页）</t>
  </si>
  <si>
    <t>来源文件 / 目录</t>
  </si>
  <si>
    <t>用途</t>
  </si>
  <si>
    <t>关键数据</t>
  </si>
  <si>
    <t>口径说明</t>
  </si>
  <si>
    <t>是否同硬件</t>
  </si>
  <si>
    <t>备注</t>
  </si>
  <si>
    <t>常规3文档类型-docling与markitdown耗时对比.docx</t>
  </si>
  <si>
    <t>DOCX/PPTX/三类PDF耗时</t>
  </si>
  <si>
    <t>100份；897页；Docling 2180.201s；MarkItDown 253.437s</t>
  </si>
  <si>
    <t>20份/类；拍照型 MarkItDown 0/20</t>
  </si>
  <si>
    <t>否（同机但不同调用方式）</t>
  </si>
  <si>
    <t>目录级/单进程口径不同</t>
  </si>
  <si>
    <t>常规3文档类型-docling与anydoc耗时对比.docx</t>
  </si>
  <si>
    <t>AnyDoc 17.688s；74/100；扫描14/20；拍照0/20</t>
  </si>
  <si>
    <t>同上</t>
  </si>
  <si>
    <t>AnyDoc逐文件CLI</t>
  </si>
  <si>
    <t>实验结果详细2.md</t>
  </si>
  <si>
    <t>多格式200、PDF200、图片50、EPUB补充</t>
  </si>
  <si>
    <t>多格式：Docling168/200；AnyDoc130/200；MarkItDown179/200</t>
  </si>
  <si>
    <t>PDF：同源200份/619页；三者PDF技术成功200/200</t>
  </si>
  <si>
    <t>PDF否；多格式同机</t>
  </si>
  <si>
    <t>成功率=非空Markdown生成率</t>
  </si>
  <si>
    <t>张云雅--文档解析方案实测对比报告.md</t>
  </si>
  <si>
    <t>部署占用、总判断、能力矩阵</t>
  </si>
  <si>
    <t>Docling 2.692GiB；AnyDoc 7.70MiB；MarkItDown388.81MiB；MinerU约4.77GiB</t>
  </si>
  <si>
    <t>MinerU来自组内Mac M5环境；多格式能力为官方矩阵</t>
  </si>
  <si>
    <t>否</t>
  </si>
  <si>
    <t>用于解释硬件和能力边界</t>
  </si>
  <si>
    <t>document多格式200/三份测试报告</t>
  </si>
  <si>
    <t>版本、200份多格式明细</t>
  </si>
  <si>
    <t>Docling2.117.0；AnyDoc0.1.6；MarkItDown0.1.7</t>
  </si>
  <si>
    <t>Python 3.12.13；Node 24.18.0</t>
  </si>
  <si>
    <t>三者同机</t>
  </si>
  <si>
    <t>非PDF数据集9.59MiB</t>
  </si>
  <si>
    <t>pdf200-docling和minerU/*.md</t>
  </si>
  <si>
    <t>PDF专项部署、耗时与人工复核</t>
  </si>
  <si>
    <t>Docling约53分24秒；MinerU8049.84s；均200/200</t>
  </si>
  <si>
    <t>Docling Windows CPU；MinerU Mac M5 Hybrid Medium</t>
  </si>
  <si>
    <t>只能比较当前部署实测墙钟时间</t>
  </si>
  <si>
    <t>用户补充说明（本次汇总纳入）</t>
  </si>
  <si>
    <t>人工复核与图片处理</t>
  </si>
  <si>
    <t>MarkItDown常规文字版面奇怪；扫描差；拍照无法解析；图片表格MinerU原图+解析表格</t>
  </si>
  <si>
    <t>图片保留按用户指定补充口径整理</t>
  </si>
  <si>
    <t>不适用</t>
  </si>
  <si>
    <t>如需部署级确认，建议再跑一次Docker参数验证</t>
  </si>
  <si>
    <t>关键边界：成功率/非空率不等于内容准确率；MinerU 未参加非PDF 200份同口径实测；PDF两套总耗时来自不同硬件与管线。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</si>
</sst>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"/>
  </numFmts>
  <fonts count="27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7F6000"/>
      <name val="Carlito"/>
      <charset val="134"/>
    </font>
    <font>
      <sz val="11"/>
      <name val="Times New Roman"/>
      <family val="1"/>
    </font>
    <font>
      <b/>
      <sz val="16"/>
      <color rgb="FFFFFFFF"/>
      <name val="Times New Roman"/>
      <family val="1"/>
    </font>
    <font>
      <b/>
      <sz val="11"/>
      <color rgb="FF17365D"/>
      <name val="宋体"/>
      <family val="3"/>
      <charset val="134"/>
    </font>
    <font>
      <b/>
      <sz val="11"/>
      <color rgb="FF17365D"/>
      <name val="Times New Roman"/>
      <family val="1"/>
    </font>
    <font>
      <sz val="11"/>
      <color rgb="FF404040"/>
      <name val="宋体"/>
      <family val="3"/>
      <charset val="134"/>
    </font>
    <font>
      <i/>
      <sz val="11"/>
      <color rgb="FF404040"/>
      <name val="Times New Roman"/>
      <family val="1"/>
    </font>
    <font>
      <b/>
      <sz val="12"/>
      <color rgb="FFFFFFFF"/>
      <name val="Carlito"/>
      <charset val="134"/>
    </font>
    <font>
      <sz val="11"/>
      <name val="宋体"/>
      <family val="3"/>
      <charset val="134"/>
    </font>
    <font>
      <b/>
      <sz val="12"/>
      <color rgb="FFFFFFFF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0000"/>
      <name val="宋体"/>
      <family val="3"/>
      <charset val="134"/>
    </font>
    <font>
      <sz val="11"/>
      <color rgb="FF404040"/>
      <name val="Times New Roman"/>
      <family val="1"/>
    </font>
    <font>
      <sz val="11"/>
      <color rgb="FF404040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宋体"/>
      <family val="3"/>
      <charset val="134"/>
    </font>
    <font>
      <sz val="11"/>
      <name val="Carlito"/>
      <charset val="134"/>
    </font>
    <font>
      <sz val="9"/>
      <name val="Carlito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1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4E2"/>
        <bgColor indexed="64"/>
      </patternFill>
    </fill>
    <fill>
      <patternFill patternType="solid">
        <fgColor rgb="FFF6F5D6"/>
        <bgColor indexed="64"/>
      </patternFill>
    </fill>
    <fill>
      <patternFill patternType="solid">
        <fgColor rgb="FFF8F7E5"/>
        <bgColor indexed="64"/>
      </patternFill>
    </fill>
    <fill>
      <patternFill patternType="solid">
        <fgColor rgb="FFF2E9CA"/>
        <bgColor indexed="64"/>
      </patternFill>
    </fill>
    <fill>
      <patternFill patternType="solid">
        <fgColor rgb="FFFFEFD2"/>
        <bgColor indexed="64"/>
      </patternFill>
    </fill>
    <fill>
      <patternFill patternType="solid">
        <fgColor rgb="FFF7F4C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EB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2">
    <xf numFmtId="0" fontId="0" fillId="0" borderId="0">
      <alignment vertical="center"/>
    </xf>
    <xf numFmtId="0" fontId="25" fillId="0" borderId="0"/>
  </cellStyleXfs>
  <cellXfs count="57">
    <xf numFmtId="0" fontId="0" fillId="0" borderId="0" xfId="0" applyAlignment="1"/>
    <xf numFmtId="0" fontId="2" fillId="3" borderId="1" xfId="1" applyFont="1" applyFill="1" applyBorder="1" applyAlignment="1">
      <alignment horizontal="center" wrapText="1"/>
    </xf>
    <xf numFmtId="0" fontId="25" fillId="0" borderId="1" xfId="1" applyBorder="1" applyAlignment="1">
      <alignment vertical="center" wrapText="1"/>
    </xf>
    <xf numFmtId="0" fontId="4" fillId="0" borderId="0" xfId="1" applyFont="1"/>
    <xf numFmtId="0" fontId="7" fillId="3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13" fillId="8" borderId="1" xfId="1" applyFont="1" applyFill="1" applyBorder="1" applyAlignment="1">
      <alignment horizontal="center" vertical="center" wrapText="1"/>
    </xf>
    <xf numFmtId="178" fontId="13" fillId="8" borderId="1" xfId="1" applyNumberFormat="1" applyFont="1" applyFill="1" applyBorder="1" applyAlignment="1">
      <alignment horizontal="center" vertical="center" wrapText="1"/>
    </xf>
    <xf numFmtId="178" fontId="4" fillId="8" borderId="1" xfId="1" applyNumberFormat="1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178" fontId="13" fillId="10" borderId="1" xfId="1" applyNumberFormat="1" applyFont="1" applyFill="1" applyBorder="1" applyAlignment="1">
      <alignment horizontal="center" vertical="center" wrapText="1"/>
    </xf>
    <xf numFmtId="178" fontId="4" fillId="10" borderId="1" xfId="1" applyNumberFormat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0" fontId="13" fillId="11" borderId="1" xfId="1" applyFont="1" applyFill="1" applyBorder="1" applyAlignment="1">
      <alignment horizontal="center" vertical="center" wrapText="1"/>
    </xf>
    <xf numFmtId="178" fontId="13" fillId="11" borderId="1" xfId="1" applyNumberFormat="1" applyFont="1" applyFill="1" applyBorder="1" applyAlignment="1">
      <alignment horizontal="center" vertical="center" wrapText="1"/>
    </xf>
    <xf numFmtId="178" fontId="4" fillId="11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horizontal="center" vertical="center" wrapText="1"/>
    </xf>
    <xf numFmtId="178" fontId="13" fillId="12" borderId="1" xfId="1" applyNumberFormat="1" applyFont="1" applyFill="1" applyBorder="1" applyAlignment="1">
      <alignment horizontal="center" vertical="center" wrapText="1"/>
    </xf>
    <xf numFmtId="178" fontId="4" fillId="12" borderId="1" xfId="1" applyNumberFormat="1" applyFont="1" applyFill="1" applyBorder="1" applyAlignment="1">
      <alignment horizontal="center" vertical="center" wrapText="1"/>
    </xf>
    <xf numFmtId="0" fontId="4" fillId="13" borderId="1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178" fontId="13" fillId="13" borderId="1" xfId="1" applyNumberFormat="1" applyFont="1" applyFill="1" applyBorder="1" applyAlignment="1">
      <alignment horizontal="center" vertical="center" wrapText="1"/>
    </xf>
    <xf numFmtId="178" fontId="4" fillId="13" borderId="1" xfId="1" applyNumberFormat="1" applyFont="1" applyFill="1" applyBorder="1" applyAlignment="1">
      <alignment horizontal="center" vertical="center" wrapText="1"/>
    </xf>
    <xf numFmtId="0" fontId="13" fillId="9" borderId="1" xfId="1" applyFont="1" applyFill="1" applyBorder="1" applyAlignment="1">
      <alignment horizontal="center" vertical="center" wrapText="1"/>
    </xf>
    <xf numFmtId="178" fontId="13" fillId="9" borderId="1" xfId="1" applyNumberFormat="1" applyFont="1" applyFill="1" applyBorder="1" applyAlignment="1">
      <alignment horizontal="center" vertical="center" wrapText="1"/>
    </xf>
    <xf numFmtId="178" fontId="4" fillId="9" borderId="1" xfId="1" applyNumberFormat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horizontal="center" vertical="center" wrapText="1"/>
    </xf>
    <xf numFmtId="178" fontId="13" fillId="14" borderId="1" xfId="1" applyNumberFormat="1" applyFont="1" applyFill="1" applyBorder="1" applyAlignment="1">
      <alignment horizontal="center" vertical="center" wrapText="1"/>
    </xf>
    <xf numFmtId="178" fontId="4" fillId="14" borderId="1" xfId="1" applyNumberFormat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4" fillId="15" borderId="1" xfId="1" applyFont="1" applyFill="1" applyBorder="1" applyAlignment="1">
      <alignment horizontal="left" vertical="center" wrapText="1"/>
    </xf>
    <xf numFmtId="0" fontId="11" fillId="9" borderId="1" xfId="1" applyFont="1" applyFill="1" applyBorder="1" applyAlignment="1">
      <alignment horizontal="left" vertical="center" wrapText="1"/>
    </xf>
    <xf numFmtId="0" fontId="4" fillId="16" borderId="1" xfId="1" applyFont="1" applyFill="1" applyBorder="1" applyAlignment="1">
      <alignment horizontal="left" vertical="center" wrapText="1"/>
    </xf>
    <xf numFmtId="0" fontId="11" fillId="16" borderId="1" xfId="1" applyFont="1" applyFill="1" applyBorder="1" applyAlignment="1">
      <alignment horizontal="left" vertical="center" wrapText="1"/>
    </xf>
    <xf numFmtId="0" fontId="4" fillId="17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  <xf numFmtId="0" fontId="4" fillId="18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center" vertical="center"/>
    </xf>
    <xf numFmtId="0" fontId="6" fillId="5" borderId="1" xfId="1" applyFont="1" applyFill="1" applyBorder="1" applyAlignment="1">
      <alignment vertical="center" wrapText="1"/>
    </xf>
    <xf numFmtId="0" fontId="7" fillId="5" borderId="1" xfId="1" applyFont="1" applyFill="1" applyBorder="1" applyAlignment="1">
      <alignment vertical="center" wrapText="1"/>
    </xf>
    <xf numFmtId="0" fontId="8" fillId="6" borderId="1" xfId="1" applyFont="1" applyFill="1" applyBorder="1" applyAlignment="1">
      <alignment vertical="center" wrapText="1"/>
    </xf>
    <xf numFmtId="0" fontId="9" fillId="6" borderId="1" xfId="1" applyFont="1" applyFill="1" applyBorder="1" applyAlignment="1">
      <alignment vertical="center" wrapText="1"/>
    </xf>
    <xf numFmtId="0" fontId="10" fillId="2" borderId="2" xfId="1" applyFont="1" applyFill="1" applyBorder="1" applyAlignment="1">
      <alignment vertical="center"/>
    </xf>
    <xf numFmtId="0" fontId="12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/>
    </xf>
    <xf numFmtId="0" fontId="3" fillId="4" borderId="1" xfId="1" applyFont="1" applyFill="1" applyBorder="1" applyAlignment="1">
      <alignment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7DAD0"/>
      <color rgb="FFF7F7D5"/>
      <color rgb="FFF4F1E0"/>
      <color rgb="FFF2E9CA"/>
      <color rgb="FFEEE4E2"/>
      <color rgb="FFCFE9ED"/>
      <color rgb="FFF7F7EB"/>
      <color rgb="FFF8F7E5"/>
      <color rgb="FFF6F5D6"/>
      <color rgb="FFF7F4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showGridLines="0" tabSelected="1" workbookViewId="0">
      <selection activeCell="A2" sqref="A2:E2"/>
    </sheetView>
  </sheetViews>
  <sheetFormatPr defaultColWidth="9" defaultRowHeight="14"/>
  <cols>
    <col min="1" max="1" width="34" style="3" customWidth="1"/>
    <col min="2" max="4" width="28" style="3" customWidth="1"/>
    <col min="5" max="5" width="28.453125" style="3" customWidth="1"/>
    <col min="6" max="16384" width="9" style="3"/>
  </cols>
  <sheetData>
    <row r="1" spans="1:5" ht="34" customHeight="1">
      <c r="A1" s="48" t="s">
        <v>0</v>
      </c>
      <c r="B1" s="48" t="s">
        <v>1</v>
      </c>
      <c r="C1" s="48" t="s">
        <v>1</v>
      </c>
      <c r="D1" s="48" t="s">
        <v>1</v>
      </c>
      <c r="E1" s="48" t="s">
        <v>1</v>
      </c>
    </row>
    <row r="2" spans="1:5" ht="34" customHeight="1">
      <c r="A2" s="49" t="s">
        <v>2</v>
      </c>
      <c r="B2" s="50" t="s">
        <v>3</v>
      </c>
      <c r="C2" s="50" t="s">
        <v>3</v>
      </c>
      <c r="D2" s="50" t="s">
        <v>3</v>
      </c>
      <c r="E2" s="50" t="s">
        <v>3</v>
      </c>
    </row>
    <row r="3" spans="1:5" ht="40" customHeight="1">
      <c r="A3" s="51" t="s">
        <v>4</v>
      </c>
      <c r="B3" s="52" t="s">
        <v>5</v>
      </c>
      <c r="C3" s="52" t="s">
        <v>5</v>
      </c>
      <c r="D3" s="52" t="s">
        <v>5</v>
      </c>
      <c r="E3" s="52" t="s">
        <v>5</v>
      </c>
    </row>
    <row r="5" spans="1:5" ht="15">
      <c r="A5" s="53" t="s">
        <v>6</v>
      </c>
      <c r="B5" s="53" t="s">
        <v>7</v>
      </c>
      <c r="C5" s="53" t="s">
        <v>7</v>
      </c>
      <c r="D5" s="53" t="s">
        <v>7</v>
      </c>
      <c r="E5" s="53" t="s">
        <v>7</v>
      </c>
    </row>
    <row r="6" spans="1:5" ht="28">
      <c r="A6" s="4" t="s">
        <v>8</v>
      </c>
      <c r="B6" s="4" t="s">
        <v>7</v>
      </c>
      <c r="C6" s="4" t="s">
        <v>7</v>
      </c>
      <c r="D6" s="4" t="s">
        <v>7</v>
      </c>
      <c r="E6" s="4" t="s">
        <v>7</v>
      </c>
    </row>
    <row r="7" spans="1:5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</row>
    <row r="8" spans="1:5" ht="28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</row>
    <row r="9" spans="1:5" ht="28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</row>
    <row r="10" spans="1:5" ht="28">
      <c r="A10" s="5" t="s">
        <v>24</v>
      </c>
      <c r="B10" s="7" t="s">
        <v>25</v>
      </c>
      <c r="C10" s="7" t="s">
        <v>26</v>
      </c>
      <c r="D10" s="7" t="s">
        <v>27</v>
      </c>
      <c r="E10" s="7" t="s">
        <v>28</v>
      </c>
    </row>
    <row r="11" spans="1:5" ht="28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33</v>
      </c>
    </row>
    <row r="12" spans="1:5" ht="28">
      <c r="A12" s="5" t="s">
        <v>34</v>
      </c>
      <c r="B12" s="5" t="s">
        <v>35</v>
      </c>
      <c r="C12" s="5" t="s">
        <v>36</v>
      </c>
      <c r="D12" s="5" t="s">
        <v>36</v>
      </c>
      <c r="E12" s="5" t="s">
        <v>37</v>
      </c>
    </row>
    <row r="13" spans="1:5" ht="28">
      <c r="A13" s="6" t="s">
        <v>38</v>
      </c>
      <c r="B13" s="6" t="s">
        <v>39</v>
      </c>
      <c r="C13" s="6" t="s">
        <v>40</v>
      </c>
      <c r="D13" s="6" t="s">
        <v>40</v>
      </c>
      <c r="E13" s="6" t="s">
        <v>41</v>
      </c>
    </row>
    <row r="15" spans="1:5" ht="24" customHeight="1">
      <c r="A15" s="54" t="s">
        <v>42</v>
      </c>
      <c r="B15" s="54" t="s">
        <v>43</v>
      </c>
      <c r="C15" s="54" t="s">
        <v>43</v>
      </c>
      <c r="D15" s="54" t="s">
        <v>43</v>
      </c>
      <c r="E15" s="54" t="s">
        <v>43</v>
      </c>
    </row>
    <row r="16" spans="1:5" ht="28" customHeight="1">
      <c r="A16" s="4" t="s">
        <v>44</v>
      </c>
      <c r="B16" s="4" t="s">
        <v>10</v>
      </c>
      <c r="C16" s="4" t="s">
        <v>11</v>
      </c>
      <c r="D16" s="4" t="s">
        <v>13</v>
      </c>
      <c r="E16" s="4" t="s">
        <v>12</v>
      </c>
    </row>
    <row r="17" spans="1:5" ht="34" customHeight="1">
      <c r="A17" s="6" t="s">
        <v>45</v>
      </c>
      <c r="B17" s="6" t="s">
        <v>46</v>
      </c>
      <c r="C17" s="6" t="s">
        <v>47</v>
      </c>
      <c r="D17" s="6" t="s">
        <v>48</v>
      </c>
      <c r="E17" s="6" t="s">
        <v>49</v>
      </c>
    </row>
    <row r="18" spans="1:5" ht="50" customHeight="1">
      <c r="A18" s="5" t="s">
        <v>50</v>
      </c>
      <c r="B18" s="5" t="s">
        <v>51</v>
      </c>
      <c r="C18" s="5" t="s">
        <v>52</v>
      </c>
      <c r="D18" s="5" t="s">
        <v>53</v>
      </c>
      <c r="E18" s="5" t="s">
        <v>54</v>
      </c>
    </row>
    <row r="19" spans="1:5" ht="48" customHeight="1">
      <c r="A19" s="6" t="s">
        <v>55</v>
      </c>
      <c r="B19" s="6" t="s">
        <v>56</v>
      </c>
      <c r="C19" s="6" t="s">
        <v>57</v>
      </c>
      <c r="D19" s="6" t="s">
        <v>58</v>
      </c>
      <c r="E19" s="6" t="s">
        <v>59</v>
      </c>
    </row>
    <row r="20" spans="1:5" ht="34" customHeight="1">
      <c r="A20" s="5" t="s">
        <v>60</v>
      </c>
      <c r="B20" s="8" t="s">
        <v>61</v>
      </c>
      <c r="C20" s="9" t="s">
        <v>62</v>
      </c>
      <c r="D20" s="9" t="s">
        <v>63</v>
      </c>
      <c r="E20" s="8" t="s">
        <v>64</v>
      </c>
    </row>
    <row r="21" spans="1:5" ht="44" customHeight="1">
      <c r="A21" s="6" t="s">
        <v>65</v>
      </c>
      <c r="B21" s="6" t="s">
        <v>66</v>
      </c>
      <c r="C21" s="6" t="s">
        <v>67</v>
      </c>
      <c r="D21" s="6" t="s">
        <v>68</v>
      </c>
      <c r="E21" s="6" t="s">
        <v>69</v>
      </c>
    </row>
    <row r="22" spans="1:5" ht="42" customHeight="1">
      <c r="A22" s="5" t="s">
        <v>70</v>
      </c>
      <c r="B22" s="5" t="s">
        <v>71</v>
      </c>
      <c r="C22" s="5" t="s">
        <v>72</v>
      </c>
      <c r="D22" s="5" t="s">
        <v>73</v>
      </c>
      <c r="E22" s="5" t="s">
        <v>74</v>
      </c>
    </row>
    <row r="23" spans="1:5" ht="44" customHeight="1">
      <c r="A23" s="6" t="s">
        <v>75</v>
      </c>
      <c r="B23" s="6" t="s">
        <v>76</v>
      </c>
      <c r="C23" s="6" t="s">
        <v>77</v>
      </c>
      <c r="D23" s="6" t="s">
        <v>78</v>
      </c>
      <c r="E23" s="6" t="s">
        <v>79</v>
      </c>
    </row>
    <row r="24" spans="1:5" ht="40" customHeight="1">
      <c r="A24" s="5" t="s">
        <v>80</v>
      </c>
      <c r="B24" s="5" t="s">
        <v>81</v>
      </c>
      <c r="C24" s="5" t="s">
        <v>82</v>
      </c>
      <c r="D24" s="5" t="s">
        <v>83</v>
      </c>
      <c r="E24" s="5" t="s">
        <v>84</v>
      </c>
    </row>
    <row r="26" spans="1:5" ht="24" customHeight="1">
      <c r="A26" s="54" t="s">
        <v>85</v>
      </c>
      <c r="B26" s="54" t="s">
        <v>86</v>
      </c>
      <c r="C26" s="54" t="s">
        <v>86</v>
      </c>
      <c r="D26" s="54" t="s">
        <v>86</v>
      </c>
      <c r="E26" s="54" t="s">
        <v>86</v>
      </c>
    </row>
    <row r="27" spans="1:5" ht="28" customHeight="1">
      <c r="A27" s="4" t="s">
        <v>87</v>
      </c>
      <c r="B27" s="4" t="s">
        <v>10</v>
      </c>
      <c r="C27" s="4" t="s">
        <v>11</v>
      </c>
      <c r="D27" s="4" t="s">
        <v>13</v>
      </c>
      <c r="E27" s="4" t="s">
        <v>12</v>
      </c>
    </row>
    <row r="28" spans="1:5" ht="34" customHeight="1">
      <c r="A28" s="10" t="s">
        <v>88</v>
      </c>
      <c r="B28" s="10" t="s">
        <v>89</v>
      </c>
      <c r="C28" s="10" t="s">
        <v>89</v>
      </c>
      <c r="D28" s="10" t="s">
        <v>89</v>
      </c>
      <c r="E28" s="11"/>
    </row>
    <row r="29" spans="1:5" ht="34" customHeight="1">
      <c r="A29" s="12" t="s">
        <v>90</v>
      </c>
      <c r="B29" s="13">
        <v>207.83799999999999</v>
      </c>
      <c r="C29" s="13">
        <v>3.399</v>
      </c>
      <c r="D29" s="13">
        <v>50.881999999999998</v>
      </c>
      <c r="E29" s="11"/>
    </row>
    <row r="30" spans="1:5" ht="34" customHeight="1">
      <c r="A30" s="10" t="s">
        <v>91</v>
      </c>
      <c r="B30" s="14">
        <f>B29/20</f>
        <v>10.3919</v>
      </c>
      <c r="C30" s="14">
        <f>C29/20</f>
        <v>0.16994999999999999</v>
      </c>
      <c r="D30" s="14">
        <f>D29/20</f>
        <v>2.5440999999999998</v>
      </c>
      <c r="E30" s="11"/>
    </row>
    <row r="31" spans="1:5" ht="34" customHeight="1">
      <c r="A31" s="10" t="s">
        <v>92</v>
      </c>
      <c r="B31" s="14">
        <f>B29/254</f>
        <v>0.81825984251968498</v>
      </c>
      <c r="C31" s="14">
        <f>C29/254</f>
        <v>1.3381889763779501E-2</v>
      </c>
      <c r="D31" s="14">
        <f>D29/254</f>
        <v>0.200322834645669</v>
      </c>
      <c r="E31" s="11"/>
    </row>
    <row r="32" spans="1:5" ht="34" customHeight="1">
      <c r="A32" s="15" t="s">
        <v>93</v>
      </c>
      <c r="B32" s="15" t="s">
        <v>89</v>
      </c>
      <c r="C32" s="15" t="s">
        <v>89</v>
      </c>
      <c r="D32" s="15" t="s">
        <v>89</v>
      </c>
      <c r="E32" s="11"/>
    </row>
    <row r="33" spans="1:5" ht="34" customHeight="1">
      <c r="A33" s="16" t="s">
        <v>94</v>
      </c>
      <c r="B33" s="17">
        <v>193.02500000000001</v>
      </c>
      <c r="C33" s="17">
        <v>3.266</v>
      </c>
      <c r="D33" s="17">
        <v>48.497</v>
      </c>
      <c r="E33" s="11"/>
    </row>
    <row r="34" spans="1:5" ht="34" customHeight="1">
      <c r="A34" s="15" t="s">
        <v>95</v>
      </c>
      <c r="B34" s="18">
        <f>B33/20</f>
        <v>9.6512499999999992</v>
      </c>
      <c r="C34" s="18">
        <f>C33/20</f>
        <v>0.1633</v>
      </c>
      <c r="D34" s="18">
        <f>D33/20</f>
        <v>2.4248500000000002</v>
      </c>
      <c r="E34" s="11"/>
    </row>
    <row r="35" spans="1:5" ht="34" customHeight="1">
      <c r="A35" s="15" t="s">
        <v>96</v>
      </c>
      <c r="B35" s="18">
        <f>B33/290</f>
        <v>0.66560344827586204</v>
      </c>
      <c r="C35" s="18">
        <f>C33/290</f>
        <v>1.1262068965517199E-2</v>
      </c>
      <c r="D35" s="18">
        <f>D33/290</f>
        <v>0.167231034482759</v>
      </c>
      <c r="E35" s="11"/>
    </row>
    <row r="36" spans="1:5" ht="34" customHeight="1">
      <c r="A36" s="19" t="s">
        <v>97</v>
      </c>
      <c r="B36" s="19" t="s">
        <v>89</v>
      </c>
      <c r="C36" s="19" t="s">
        <v>89</v>
      </c>
      <c r="D36" s="19" t="s">
        <v>89</v>
      </c>
      <c r="E36" s="11"/>
    </row>
    <row r="37" spans="1:5" ht="34" customHeight="1">
      <c r="A37" s="20" t="s">
        <v>98</v>
      </c>
      <c r="B37" s="21">
        <v>865.23400000000004</v>
      </c>
      <c r="C37" s="21">
        <v>4.1340000000000003</v>
      </c>
      <c r="D37" s="21">
        <v>53.710999999999999</v>
      </c>
      <c r="E37" s="11"/>
    </row>
    <row r="38" spans="1:5" ht="34" customHeight="1">
      <c r="A38" s="19" t="s">
        <v>99</v>
      </c>
      <c r="B38" s="22">
        <f>B37/20</f>
        <v>43.261699999999998</v>
      </c>
      <c r="C38" s="22">
        <f>C37/20</f>
        <v>0.20669999999999999</v>
      </c>
      <c r="D38" s="22">
        <f>D37/20</f>
        <v>2.6855500000000001</v>
      </c>
      <c r="E38" s="11"/>
    </row>
    <row r="39" spans="1:5" ht="34" customHeight="1">
      <c r="A39" s="19" t="s">
        <v>100</v>
      </c>
      <c r="B39" s="22">
        <f>B37/254</f>
        <v>3.4064330708661399</v>
      </c>
      <c r="C39" s="22">
        <f>C37/254</f>
        <v>1.62755905511811E-2</v>
      </c>
      <c r="D39" s="22">
        <f>D37/254</f>
        <v>0.21146062992126</v>
      </c>
      <c r="E39" s="11"/>
    </row>
    <row r="40" spans="1:5" ht="34" customHeight="1">
      <c r="A40" s="23" t="s">
        <v>101</v>
      </c>
      <c r="B40" s="23" t="s">
        <v>89</v>
      </c>
      <c r="C40" s="23" t="s">
        <v>102</v>
      </c>
      <c r="D40" s="23" t="s">
        <v>89</v>
      </c>
      <c r="E40" s="11"/>
    </row>
    <row r="41" spans="1:5" ht="34" customHeight="1">
      <c r="A41" s="24" t="s">
        <v>103</v>
      </c>
      <c r="B41" s="25">
        <v>462.30599999999998</v>
      </c>
      <c r="C41" s="25">
        <v>3.7050000000000001</v>
      </c>
      <c r="D41" s="25">
        <v>54.695</v>
      </c>
      <c r="E41" s="11"/>
    </row>
    <row r="42" spans="1:5" ht="34" customHeight="1">
      <c r="A42" s="23" t="s">
        <v>104</v>
      </c>
      <c r="B42" s="26">
        <f>B41/20</f>
        <v>23.115300000000001</v>
      </c>
      <c r="C42" s="26">
        <f>C41/20</f>
        <v>0.18525</v>
      </c>
      <c r="D42" s="26">
        <f>D41/20</f>
        <v>2.73475</v>
      </c>
      <c r="E42" s="11"/>
    </row>
    <row r="43" spans="1:5" ht="34" customHeight="1">
      <c r="A43" s="23" t="s">
        <v>105</v>
      </c>
      <c r="B43" s="26">
        <f>B41/79</f>
        <v>5.8519746835442996</v>
      </c>
      <c r="C43" s="26">
        <f>C41/79</f>
        <v>4.6898734177215198E-2</v>
      </c>
      <c r="D43" s="26">
        <f>D41/79</f>
        <v>0.69234177215189896</v>
      </c>
      <c r="E43" s="11"/>
    </row>
    <row r="44" spans="1:5" ht="34" customHeight="1">
      <c r="A44" s="27" t="s">
        <v>106</v>
      </c>
      <c r="B44" s="27" t="s">
        <v>89</v>
      </c>
      <c r="C44" s="27" t="s">
        <v>107</v>
      </c>
      <c r="D44" s="27" t="s">
        <v>107</v>
      </c>
      <c r="E44" s="11"/>
    </row>
    <row r="45" spans="1:5" ht="34" customHeight="1">
      <c r="A45" s="28" t="s">
        <v>108</v>
      </c>
      <c r="B45" s="29">
        <v>451.798</v>
      </c>
      <c r="C45" s="29">
        <v>3.1840000000000002</v>
      </c>
      <c r="D45" s="29">
        <v>45.652000000000001</v>
      </c>
      <c r="E45" s="11"/>
    </row>
    <row r="46" spans="1:5" ht="34" customHeight="1">
      <c r="A46" s="27" t="s">
        <v>109</v>
      </c>
      <c r="B46" s="30">
        <f>B45/20</f>
        <v>22.5899</v>
      </c>
      <c r="C46" s="30">
        <f>C45/20</f>
        <v>0.15920000000000001</v>
      </c>
      <c r="D46" s="30">
        <f>D45/20</f>
        <v>2.2826</v>
      </c>
      <c r="E46" s="11"/>
    </row>
    <row r="47" spans="1:5" ht="34" customHeight="1">
      <c r="A47" s="27" t="s">
        <v>110</v>
      </c>
      <c r="B47" s="30">
        <f>B45/20</f>
        <v>22.5899</v>
      </c>
      <c r="C47" s="30">
        <f>C45/20</f>
        <v>0.15920000000000001</v>
      </c>
      <c r="D47" s="30">
        <f>D45/20</f>
        <v>2.2826</v>
      </c>
      <c r="E47" s="11"/>
    </row>
    <row r="48" spans="1:5" ht="34" customHeight="1">
      <c r="A48" s="11" t="s">
        <v>111</v>
      </c>
      <c r="B48" s="11" t="s">
        <v>112</v>
      </c>
      <c r="C48" s="11" t="s">
        <v>113</v>
      </c>
      <c r="D48" s="11" t="s">
        <v>114</v>
      </c>
      <c r="E48" s="31"/>
    </row>
    <row r="49" spans="1:7" ht="34" customHeight="1">
      <c r="A49" s="31" t="s">
        <v>115</v>
      </c>
      <c r="B49" s="32">
        <f>SUM(B29,B33,B37,B41,B45)</f>
        <v>2180.201</v>
      </c>
      <c r="C49" s="32">
        <f>SUM(C29,C33,C37,C41,C45)</f>
        <v>17.687999999999999</v>
      </c>
      <c r="D49" s="32">
        <f>SUM(D29,D33,D37,D41,D45)</f>
        <v>253.43700000000001</v>
      </c>
      <c r="E49" s="11"/>
    </row>
    <row r="50" spans="1:7" ht="34" customHeight="1">
      <c r="A50" s="11" t="s">
        <v>116</v>
      </c>
      <c r="B50" s="33">
        <f>B49/100</f>
        <v>21.802009999999999</v>
      </c>
      <c r="C50" s="33">
        <f>C49/100</f>
        <v>0.17688000000000001</v>
      </c>
      <c r="D50" s="33">
        <f>D49/100</f>
        <v>2.53437</v>
      </c>
      <c r="E50" s="11"/>
    </row>
    <row r="51" spans="1:7" ht="34" customHeight="1">
      <c r="A51" s="11" t="s">
        <v>117</v>
      </c>
      <c r="B51" s="33">
        <f>B49/897</f>
        <v>2.4305473801560802</v>
      </c>
      <c r="C51" s="33">
        <f>C49/897</f>
        <v>1.97190635451505E-2</v>
      </c>
      <c r="D51" s="33">
        <f>D49/897</f>
        <v>0.28253846153846102</v>
      </c>
      <c r="E51" s="11"/>
    </row>
    <row r="52" spans="1:7" ht="34" customHeight="1">
      <c r="A52" s="34" t="s">
        <v>118</v>
      </c>
      <c r="B52" s="34" t="s">
        <v>119</v>
      </c>
      <c r="C52" s="11"/>
      <c r="D52" s="11"/>
      <c r="E52" s="34" t="s">
        <v>119</v>
      </c>
    </row>
    <row r="53" spans="1:7" ht="34" customHeight="1">
      <c r="A53" s="35" t="s">
        <v>120</v>
      </c>
      <c r="B53" s="36">
        <v>3204</v>
      </c>
      <c r="C53" s="31"/>
      <c r="D53" s="31"/>
      <c r="E53" s="36">
        <v>8049.84</v>
      </c>
      <c r="F53" s="36" t="s">
        <v>121</v>
      </c>
      <c r="G53" s="36" t="s">
        <v>122</v>
      </c>
    </row>
    <row r="54" spans="1:7" ht="34" customHeight="1">
      <c r="A54" s="34" t="s">
        <v>123</v>
      </c>
      <c r="B54" s="37">
        <f>B53/200</f>
        <v>16.02</v>
      </c>
      <c r="C54" s="11"/>
      <c r="D54" s="11"/>
      <c r="E54" s="37">
        <f>E53/200</f>
        <v>40.249200000000002</v>
      </c>
    </row>
    <row r="55" spans="1:7" ht="34" customHeight="1">
      <c r="A55" s="34" t="s">
        <v>124</v>
      </c>
      <c r="B55" s="37">
        <f>B53/619</f>
        <v>5.1760904684975797</v>
      </c>
      <c r="C55" s="11"/>
      <c r="D55" s="11"/>
      <c r="E55" s="37">
        <f>E53/619</f>
        <v>13.0045880452342</v>
      </c>
    </row>
    <row r="56" spans="1:7" ht="48" customHeight="1">
      <c r="A56" s="38" t="s">
        <v>125</v>
      </c>
      <c r="B56" s="39" t="s">
        <v>126</v>
      </c>
      <c r="C56" s="38" t="s">
        <v>127</v>
      </c>
      <c r="D56" s="38" t="s">
        <v>128</v>
      </c>
      <c r="E56" s="39" t="s">
        <v>129</v>
      </c>
    </row>
    <row r="58" spans="1:7" ht="24" customHeight="1">
      <c r="A58" s="54" t="s">
        <v>130</v>
      </c>
      <c r="B58" s="54" t="s">
        <v>131</v>
      </c>
      <c r="C58" s="54" t="s">
        <v>131</v>
      </c>
      <c r="D58" s="54" t="s">
        <v>131</v>
      </c>
      <c r="E58" s="54" t="s">
        <v>131</v>
      </c>
    </row>
    <row r="59" spans="1:7" ht="28" customHeight="1">
      <c r="A59" s="4" t="s">
        <v>132</v>
      </c>
      <c r="B59" s="4" t="s">
        <v>10</v>
      </c>
      <c r="C59" s="4" t="s">
        <v>11</v>
      </c>
      <c r="D59" s="4" t="s">
        <v>13</v>
      </c>
      <c r="E59" s="4" t="s">
        <v>12</v>
      </c>
    </row>
    <row r="60" spans="1:7" ht="56" customHeight="1">
      <c r="A60" s="40" t="s">
        <v>133</v>
      </c>
      <c r="B60" s="40" t="s">
        <v>134</v>
      </c>
      <c r="C60" s="40" t="s">
        <v>135</v>
      </c>
      <c r="D60" s="40" t="s">
        <v>136</v>
      </c>
      <c r="E60" s="40" t="s">
        <v>137</v>
      </c>
    </row>
    <row r="61" spans="1:7" ht="56" customHeight="1">
      <c r="A61" s="38" t="s">
        <v>138</v>
      </c>
      <c r="B61" s="38" t="s">
        <v>139</v>
      </c>
      <c r="C61" s="38" t="s">
        <v>140</v>
      </c>
      <c r="D61" s="38" t="s">
        <v>141</v>
      </c>
      <c r="E61" s="38" t="s">
        <v>142</v>
      </c>
    </row>
    <row r="62" spans="1:7" ht="58" customHeight="1">
      <c r="A62" s="38" t="s">
        <v>143</v>
      </c>
      <c r="B62" s="38" t="s">
        <v>144</v>
      </c>
      <c r="C62" s="41" t="s">
        <v>145</v>
      </c>
      <c r="D62" s="41" t="s">
        <v>146</v>
      </c>
      <c r="E62" s="38" t="s">
        <v>147</v>
      </c>
    </row>
    <row r="63" spans="1:7" ht="58" customHeight="1">
      <c r="A63" s="38" t="s">
        <v>148</v>
      </c>
      <c r="B63" s="38" t="s">
        <v>149</v>
      </c>
      <c r="C63" s="38" t="s">
        <v>150</v>
      </c>
      <c r="D63" s="38" t="s">
        <v>151</v>
      </c>
      <c r="E63" s="38" t="s">
        <v>152</v>
      </c>
    </row>
    <row r="64" spans="1:7" ht="68" customHeight="1">
      <c r="A64" s="38" t="s">
        <v>153</v>
      </c>
      <c r="B64" s="38" t="s">
        <v>154</v>
      </c>
      <c r="C64" s="38" t="s">
        <v>155</v>
      </c>
      <c r="D64" s="38" t="s">
        <v>156</v>
      </c>
      <c r="E64" s="38" t="s">
        <v>157</v>
      </c>
    </row>
    <row r="65" spans="1:5" ht="56" customHeight="1">
      <c r="A65" s="38" t="s">
        <v>158</v>
      </c>
      <c r="B65" s="38" t="s">
        <v>159</v>
      </c>
      <c r="C65" s="38" t="s">
        <v>160</v>
      </c>
      <c r="D65" s="38" t="s">
        <v>161</v>
      </c>
      <c r="E65" s="38" t="s">
        <v>162</v>
      </c>
    </row>
    <row r="67" spans="1:5" ht="24" customHeight="1">
      <c r="A67" s="54" t="s">
        <v>163</v>
      </c>
      <c r="B67" s="54" t="s">
        <v>164</v>
      </c>
      <c r="C67" s="54" t="s">
        <v>164</v>
      </c>
      <c r="D67" s="54" t="s">
        <v>164</v>
      </c>
      <c r="E67" s="54" t="s">
        <v>164</v>
      </c>
    </row>
    <row r="68" spans="1:5" ht="28" customHeight="1">
      <c r="A68" s="4" t="s">
        <v>165</v>
      </c>
      <c r="B68" s="4" t="s">
        <v>10</v>
      </c>
      <c r="C68" s="4" t="s">
        <v>11</v>
      </c>
      <c r="D68" s="4" t="s">
        <v>13</v>
      </c>
      <c r="E68" s="4" t="s">
        <v>12</v>
      </c>
    </row>
    <row r="69" spans="1:5" ht="44" customHeight="1">
      <c r="A69" s="38" t="s">
        <v>166</v>
      </c>
      <c r="B69" s="38" t="s">
        <v>167</v>
      </c>
      <c r="C69" s="41" t="s">
        <v>168</v>
      </c>
      <c r="D69" s="38" t="s">
        <v>167</v>
      </c>
      <c r="E69" s="38" t="s">
        <v>169</v>
      </c>
    </row>
    <row r="70" spans="1:5" ht="44" customHeight="1">
      <c r="A70" s="42" t="s">
        <v>170</v>
      </c>
      <c r="B70" s="43" t="s">
        <v>171</v>
      </c>
      <c r="C70" s="42" t="s">
        <v>172</v>
      </c>
      <c r="D70" s="42" t="s">
        <v>172</v>
      </c>
      <c r="E70" s="42" t="s">
        <v>173</v>
      </c>
    </row>
    <row r="71" spans="1:5" ht="44" customHeight="1">
      <c r="A71" s="42" t="s">
        <v>174</v>
      </c>
      <c r="B71" s="43" t="s">
        <v>175</v>
      </c>
      <c r="C71" s="42" t="s">
        <v>176</v>
      </c>
      <c r="D71" s="42" t="s">
        <v>177</v>
      </c>
      <c r="E71" s="42" t="s">
        <v>178</v>
      </c>
    </row>
    <row r="72" spans="1:5" ht="44" customHeight="1">
      <c r="A72" s="44" t="s">
        <v>179</v>
      </c>
      <c r="B72" s="44" t="s">
        <v>180</v>
      </c>
      <c r="C72" s="44" t="s">
        <v>181</v>
      </c>
      <c r="D72" s="44" t="s">
        <v>182</v>
      </c>
      <c r="E72" s="44" t="s">
        <v>183</v>
      </c>
    </row>
    <row r="73" spans="1:5" ht="44" customHeight="1">
      <c r="A73" s="44" t="s">
        <v>184</v>
      </c>
      <c r="B73" s="44" t="s">
        <v>185</v>
      </c>
      <c r="C73" s="44" t="s">
        <v>186</v>
      </c>
      <c r="D73" s="44" t="s">
        <v>186</v>
      </c>
      <c r="E73" s="44" t="s">
        <v>187</v>
      </c>
    </row>
    <row r="74" spans="1:5" ht="44" customHeight="1">
      <c r="A74" s="38" t="s">
        <v>188</v>
      </c>
      <c r="B74" s="38" t="s">
        <v>189</v>
      </c>
      <c r="C74" s="38" t="s">
        <v>190</v>
      </c>
      <c r="D74" s="38" t="s">
        <v>189</v>
      </c>
      <c r="E74" s="38" t="s">
        <v>191</v>
      </c>
    </row>
    <row r="75" spans="1:5" ht="44" customHeight="1">
      <c r="A75" s="38" t="s">
        <v>192</v>
      </c>
      <c r="B75" s="38" t="s">
        <v>193</v>
      </c>
      <c r="C75" s="38" t="s">
        <v>194</v>
      </c>
      <c r="D75" s="38" t="s">
        <v>195</v>
      </c>
      <c r="E75" s="38" t="s">
        <v>191</v>
      </c>
    </row>
    <row r="76" spans="1:5" ht="44" customHeight="1">
      <c r="A76" s="38" t="s">
        <v>196</v>
      </c>
      <c r="B76" s="38" t="s">
        <v>197</v>
      </c>
      <c r="C76" s="38" t="s">
        <v>197</v>
      </c>
      <c r="D76" s="38" t="s">
        <v>197</v>
      </c>
      <c r="E76" s="38" t="s">
        <v>198</v>
      </c>
    </row>
    <row r="77" spans="1:5" ht="44" customHeight="1">
      <c r="A77" s="38" t="s">
        <v>199</v>
      </c>
      <c r="B77" s="38" t="s">
        <v>172</v>
      </c>
      <c r="C77" s="38" t="s">
        <v>200</v>
      </c>
      <c r="D77" s="38" t="s">
        <v>201</v>
      </c>
      <c r="E77" s="38" t="s">
        <v>186</v>
      </c>
    </row>
    <row r="78" spans="1:5" ht="44" customHeight="1">
      <c r="A78" s="38" t="s">
        <v>202</v>
      </c>
      <c r="B78" s="38" t="s">
        <v>172</v>
      </c>
      <c r="C78" s="38" t="s">
        <v>200</v>
      </c>
      <c r="D78" s="38" t="s">
        <v>203</v>
      </c>
      <c r="E78" s="38" t="s">
        <v>186</v>
      </c>
    </row>
    <row r="79" spans="1:5" ht="44" customHeight="1">
      <c r="A79" s="38" t="s">
        <v>204</v>
      </c>
      <c r="B79" s="38" t="s">
        <v>205</v>
      </c>
      <c r="C79" s="38" t="s">
        <v>206</v>
      </c>
      <c r="D79" s="38" t="s">
        <v>207</v>
      </c>
      <c r="E79" s="38" t="s">
        <v>186</v>
      </c>
    </row>
    <row r="81" spans="1:5" ht="24" customHeight="1">
      <c r="A81" s="54" t="s">
        <v>208</v>
      </c>
      <c r="B81" s="54" t="s">
        <v>209</v>
      </c>
      <c r="C81" s="54" t="s">
        <v>209</v>
      </c>
      <c r="D81" s="54" t="s">
        <v>209</v>
      </c>
      <c r="E81" s="54" t="s">
        <v>209</v>
      </c>
    </row>
    <row r="82" spans="1:5" ht="28" customHeight="1">
      <c r="A82" s="4" t="s">
        <v>210</v>
      </c>
      <c r="B82" s="4" t="s">
        <v>10</v>
      </c>
      <c r="C82" s="4" t="s">
        <v>11</v>
      </c>
      <c r="D82" s="4" t="s">
        <v>13</v>
      </c>
      <c r="E82" s="4" t="s">
        <v>12</v>
      </c>
    </row>
    <row r="83" spans="1:5" ht="72" customHeight="1">
      <c r="A83" s="45" t="s">
        <v>211</v>
      </c>
      <c r="B83" s="45" t="s">
        <v>212</v>
      </c>
      <c r="C83" s="45" t="s">
        <v>213</v>
      </c>
      <c r="D83" s="45" t="s">
        <v>214</v>
      </c>
      <c r="E83" s="45" t="s">
        <v>215</v>
      </c>
    </row>
    <row r="84" spans="1:5" ht="64" customHeight="1">
      <c r="A84" s="46" t="s">
        <v>216</v>
      </c>
      <c r="B84" s="46" t="s">
        <v>217</v>
      </c>
      <c r="C84" s="46" t="s">
        <v>218</v>
      </c>
      <c r="D84" s="46" t="s">
        <v>218</v>
      </c>
      <c r="E84" s="46" t="s">
        <v>219</v>
      </c>
    </row>
    <row r="85" spans="1:5" ht="58" customHeight="1">
      <c r="A85" s="47" t="s">
        <v>220</v>
      </c>
      <c r="B85" s="47" t="s">
        <v>221</v>
      </c>
      <c r="C85" s="47" t="s">
        <v>222</v>
      </c>
      <c r="D85" s="47" t="s">
        <v>223</v>
      </c>
      <c r="E85" s="47" t="s">
        <v>224</v>
      </c>
    </row>
  </sheetData>
  <mergeCells count="9">
    <mergeCell ref="A26:E26"/>
    <mergeCell ref="A58:E58"/>
    <mergeCell ref="A67:E67"/>
    <mergeCell ref="A81:E81"/>
    <mergeCell ref="A1:E1"/>
    <mergeCell ref="A2:E2"/>
    <mergeCell ref="A3:E3"/>
    <mergeCell ref="A5:E5"/>
    <mergeCell ref="A15:E15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selection sqref="A1:F1"/>
    </sheetView>
  </sheetViews>
  <sheetFormatPr defaultColWidth="9" defaultRowHeight="14"/>
  <cols>
    <col min="1" max="1" width="42" customWidth="1"/>
    <col min="2" max="2" width="24" customWidth="1"/>
    <col min="3" max="4" width="46" customWidth="1"/>
    <col min="5" max="5" width="22" customWidth="1"/>
    <col min="6" max="6" width="30" customWidth="1"/>
  </cols>
  <sheetData>
    <row r="1" spans="1:6" ht="30" customHeight="1">
      <c r="A1" s="55" t="s">
        <v>225</v>
      </c>
      <c r="B1" s="55" t="s">
        <v>225</v>
      </c>
      <c r="C1" s="55" t="s">
        <v>225</v>
      </c>
      <c r="D1" s="55" t="s">
        <v>225</v>
      </c>
      <c r="E1" s="55" t="s">
        <v>225</v>
      </c>
      <c r="F1" s="55" t="s">
        <v>225</v>
      </c>
    </row>
    <row r="3" spans="1:6" ht="28" customHeight="1">
      <c r="A3" s="1" t="s">
        <v>226</v>
      </c>
      <c r="B3" s="1" t="s">
        <v>227</v>
      </c>
      <c r="C3" s="1" t="s">
        <v>228</v>
      </c>
      <c r="D3" s="1" t="s">
        <v>229</v>
      </c>
      <c r="E3" s="1" t="s">
        <v>230</v>
      </c>
      <c r="F3" s="1" t="s">
        <v>231</v>
      </c>
    </row>
    <row r="4" spans="1:6" ht="58" customHeight="1">
      <c r="A4" s="2" t="s">
        <v>232</v>
      </c>
      <c r="B4" s="2" t="s">
        <v>233</v>
      </c>
      <c r="C4" s="2" t="s">
        <v>234</v>
      </c>
      <c r="D4" s="2" t="s">
        <v>235</v>
      </c>
      <c r="E4" s="2" t="s">
        <v>236</v>
      </c>
      <c r="F4" s="2" t="s">
        <v>237</v>
      </c>
    </row>
    <row r="5" spans="1:6" ht="58" customHeight="1">
      <c r="A5" s="2" t="s">
        <v>238</v>
      </c>
      <c r="B5" s="2" t="s">
        <v>233</v>
      </c>
      <c r="C5" s="2" t="s">
        <v>239</v>
      </c>
      <c r="D5" s="2" t="s">
        <v>240</v>
      </c>
      <c r="E5" s="2" t="s">
        <v>236</v>
      </c>
      <c r="F5" s="2" t="s">
        <v>241</v>
      </c>
    </row>
    <row r="6" spans="1:6" ht="58" customHeight="1">
      <c r="A6" s="2" t="s">
        <v>242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</row>
    <row r="7" spans="1:6" ht="58" customHeight="1">
      <c r="A7" s="2" t="s">
        <v>248</v>
      </c>
      <c r="B7" s="2" t="s">
        <v>249</v>
      </c>
      <c r="C7" s="2" t="s">
        <v>250</v>
      </c>
      <c r="D7" s="2" t="s">
        <v>251</v>
      </c>
      <c r="E7" s="2" t="s">
        <v>252</v>
      </c>
      <c r="F7" s="2" t="s">
        <v>253</v>
      </c>
    </row>
    <row r="8" spans="1:6" ht="58" customHeight="1">
      <c r="A8" s="2" t="s">
        <v>254</v>
      </c>
      <c r="B8" s="2" t="s">
        <v>255</v>
      </c>
      <c r="C8" s="2" t="s">
        <v>256</v>
      </c>
      <c r="D8" s="2" t="s">
        <v>257</v>
      </c>
      <c r="E8" s="2" t="s">
        <v>258</v>
      </c>
      <c r="F8" s="2" t="s">
        <v>259</v>
      </c>
    </row>
    <row r="9" spans="1:6" ht="58" customHeight="1">
      <c r="A9" s="2" t="s">
        <v>260</v>
      </c>
      <c r="B9" s="2" t="s">
        <v>261</v>
      </c>
      <c r="C9" s="2" t="s">
        <v>262</v>
      </c>
      <c r="D9" s="2" t="s">
        <v>263</v>
      </c>
      <c r="E9" s="2" t="s">
        <v>252</v>
      </c>
      <c r="F9" s="2" t="s">
        <v>264</v>
      </c>
    </row>
    <row r="10" spans="1:6" ht="58" customHeight="1">
      <c r="A10" s="2" t="s">
        <v>265</v>
      </c>
      <c r="B10" s="2" t="s">
        <v>266</v>
      </c>
      <c r="C10" s="2" t="s">
        <v>267</v>
      </c>
      <c r="D10" s="2" t="s">
        <v>268</v>
      </c>
      <c r="E10" s="2" t="s">
        <v>269</v>
      </c>
      <c r="F10" s="2" t="s">
        <v>270</v>
      </c>
    </row>
    <row r="13" spans="1:6" ht="34" customHeight="1">
      <c r="A13" s="56" t="s">
        <v>271</v>
      </c>
      <c r="B13" s="56" t="s">
        <v>271</v>
      </c>
      <c r="C13" s="56" t="s">
        <v>271</v>
      </c>
      <c r="D13" s="56" t="s">
        <v>271</v>
      </c>
      <c r="E13" s="56" t="s">
        <v>271</v>
      </c>
      <c r="F13" s="56" t="s">
        <v>271</v>
      </c>
    </row>
  </sheetData>
  <mergeCells count="2">
    <mergeCell ref="A1:F1"/>
    <mergeCell ref="A13:F13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展示总表</vt:lpstr>
      <vt:lpstr>口径与来源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</dc:creator>
  <cp:lastModifiedBy>恩铄 朱</cp:lastModifiedBy>
  <dcterms:created xsi:type="dcterms:W3CDTF">2026-08-27T12:00:00Z</dcterms:created>
  <dcterms:modified xsi:type="dcterms:W3CDTF">2026-09-03T03:17:31Z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5206C024CD504B39A356D3B3F7D6D4CA_12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